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端功能清单" sheetId="1" state="visible" r:id="rId1"/>
    <sheet name="后端功能清单" sheetId="2" state="visible" r:id="rId2"/>
    <sheet name="任务清单" sheetId="3" state="visible" r:id="rId3"/>
  </sheets>
  <definedNames>
    <definedName name="_xlnm._FilterDatabase" localSheetId="2" hidden="1">'任务清单'!$A$1:$Q$112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2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48" customWidth="1" min="5" max="5"/>
    <col width="18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功能编号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功能说明</t>
        </is>
      </c>
      <c r="F1" s="1" t="inlineStr">
        <is>
          <t>设计说明</t>
        </is>
      </c>
      <c r="G1" s="1" t="inlineStr">
        <is>
          <t>负责人</t>
        </is>
      </c>
      <c r="H1" s="1" t="inlineStr">
        <is>
          <t>状态</t>
        </is>
      </c>
      <c r="I1" s="1" t="inlineStr">
        <is>
          <t>备注</t>
        </is>
      </c>
      <c r="J1" s="1" t="inlineStr">
        <is>
          <t>预估人天</t>
        </is>
      </c>
      <c r="K1" s="1" t="inlineStr">
        <is>
          <t>实际耗时</t>
        </is>
      </c>
      <c r="L1" s="1" t="inlineStr">
        <is>
          <t>完成度</t>
        </is>
      </c>
    </row>
    <row r="2">
      <c r="A2" s="2" t="inlineStr">
        <is>
          <t>F-01</t>
        </is>
      </c>
      <c r="B2" s="2" t="inlineStr">
        <is>
          <t>管理空间</t>
        </is>
      </c>
      <c r="C2" s="2" t="inlineStr">
        <is>
          <t>画布管理页</t>
        </is>
      </c>
      <c r="D2" s="2" t="inlineStr">
        <is>
          <t>画布列表与管理</t>
        </is>
      </c>
      <c r="E2" s="2" t="inlineStr">
        <is>
          <t>新建画布/导入画布(上传JSON)/画布列表缩略图展示/编辑画布名称/删除画布(二次确认)/下载画布(导出JSON)</t>
        </is>
      </c>
      <c r="F2" s="2" t="inlineStr"/>
      <c r="G2" s="2" t="inlineStr"/>
      <c r="H2" s="2" t="inlineStr">
        <is>
          <t>未开始</t>
        </is>
      </c>
      <c r="I2" s="2" t="inlineStr"/>
      <c r="J2" s="3">
        <f>SUMIF(任务清单!A:A,A2,任务清单!I:I)</f>
        <v/>
      </c>
      <c r="K2" s="3">
        <f>SUMIF(任务清单!A:A,A2,任务清单!J:J)</f>
        <v/>
      </c>
      <c r="L2" s="4">
        <f>IF(SUMIF(任务清单!A:A,A2,任务清单!I:I)=0,0,(SUMIFS(任务清单!I:I,任务清单!A:A,A2,任务清单!O:O,"已完成")+SUMIFS(任务清单!I:I,任务清单!A:A,A2,任务清单!O:O,"已取消"))/SUMIF(任务清单!A:A,A2,任务清单!I:I))</f>
        <v/>
      </c>
    </row>
    <row r="3">
      <c r="A3" s="5" t="inlineStr">
        <is>
          <t>F-02</t>
        </is>
      </c>
      <c r="B3" s="5" t="inlineStr">
        <is>
          <t>管理空间</t>
        </is>
      </c>
      <c r="C3" s="5" t="inlineStr">
        <is>
          <t>无限画布</t>
        </is>
      </c>
      <c r="D3" s="5" t="inlineStr">
        <is>
          <t>画布基础操作</t>
        </is>
      </c>
      <c r="E3" s="5" t="inlineStr">
        <is>
          <t>无限延展创作空间/画布拖拽平移/画布缩放(放大缩小)/适应视图/一键整理/鼠标模式切换(选择/抓手)</t>
        </is>
      </c>
      <c r="F3" s="5" t="inlineStr"/>
      <c r="G3" s="5" t="inlineStr"/>
      <c r="H3" s="5" t="inlineStr">
        <is>
          <t>未开始</t>
        </is>
      </c>
      <c r="I3" s="5" t="inlineStr"/>
      <c r="J3" s="6">
        <f>SUMIF(任务清单!A:A,A3,任务清单!I:I)</f>
        <v/>
      </c>
      <c r="K3" s="6">
        <f>SUMIF(任务清单!A:A,A3,任务清单!J:J)</f>
        <v/>
      </c>
      <c r="L3" s="7">
        <f>IF(SUMIF(任务清单!A:A,A3,任务清单!I:I)=0,0,(SUMIFS(任务清单!I:I,任务清单!A:A,A3,任务清单!O:O,"已完成")+SUMIFS(任务清单!I:I,任务清单!A:A,A3,任务清单!O:O,"已取消"))/SUMIF(任务清单!A:A,A3,任务清单!I:I))</f>
        <v/>
      </c>
    </row>
    <row r="4">
      <c r="A4" s="2" t="inlineStr">
        <is>
          <t>F-03</t>
        </is>
      </c>
      <c r="B4" s="2" t="inlineStr">
        <is>
          <t>管理空间</t>
        </is>
      </c>
      <c r="C4" s="2" t="inlineStr">
        <is>
          <t>卡片管理</t>
        </is>
      </c>
      <c r="D4" s="2" t="inlineStr">
        <is>
          <t>卡片(节点)操作</t>
        </is>
      </c>
      <c r="E4" s="2" t="inlineStr">
        <is>
          <t>新建卡片(左侧按钮/右键/双击3种方式)/卡片拖拽移动/卡片缩放/卡片复制/卡片删除/多卡片框选/卡片编辑(修改内容参数)</t>
        </is>
      </c>
      <c r="F4" s="2" t="inlineStr"/>
      <c r="G4" s="2" t="inlineStr"/>
      <c r="H4" s="2" t="inlineStr">
        <is>
          <t>未开始</t>
        </is>
      </c>
      <c r="I4" s="2" t="inlineStr"/>
      <c r="J4" s="3">
        <f>SUMIF(任务清单!A:A,A4,任务清单!I:I)</f>
        <v/>
      </c>
      <c r="K4" s="3">
        <f>SUMIF(任务清单!A:A,A4,任务清单!J:J)</f>
        <v/>
      </c>
      <c r="L4" s="4">
        <f>IF(SUMIF(任务清单!A:A,A4,任务清单!I:I)=0,0,(SUMIFS(任务清单!I:I,任务清单!A:A,A4,任务清单!O:O,"已完成")+SUMIFS(任务清单!I:I,任务清单!A:A,A4,任务清单!O:O,"已取消"))/SUMIF(任务清单!A:A,A4,任务清单!I:I))</f>
        <v/>
      </c>
    </row>
    <row r="5">
      <c r="A5" s="5" t="inlineStr">
        <is>
          <t>F-04</t>
        </is>
      </c>
      <c r="B5" s="5" t="inlineStr">
        <is>
          <t>管理空间</t>
        </is>
      </c>
      <c r="C5" s="5" t="inlineStr">
        <is>
          <t>连线系统</t>
        </is>
      </c>
      <c r="D5" s="5" t="inlineStr">
        <is>
          <t>节点连线功能</t>
        </is>
      </c>
      <c r="E5" s="5" t="inlineStr">
        <is>
          <t>添加连线(输出端→输入端)/通过输出端呼出模态列表一键创建下游节点/删除连线/连线状态可视化(蓝色有效/灰色无效/黑色选中)</t>
        </is>
      </c>
      <c r="F5" s="5" t="inlineStr"/>
      <c r="G5" s="5" t="inlineStr"/>
      <c r="H5" s="5" t="inlineStr">
        <is>
          <t>未开始</t>
        </is>
      </c>
      <c r="I5" s="5" t="inlineStr"/>
      <c r="J5" s="6">
        <f>SUMIF(任务清单!A:A,A5,任务清单!I:I)</f>
        <v/>
      </c>
      <c r="K5" s="6">
        <f>SUMIF(任务清单!A:A,A5,任务清单!J:J)</f>
        <v/>
      </c>
      <c r="L5" s="7">
        <f>IF(SUMIF(任务清单!A:A,A5,任务清单!I:I)=0,0,(SUMIFS(任务清单!I:I,任务清单!A:A,A5,任务清单!O:O,"已完成")+SUMIFS(任务清单!I:I,任务清单!A:A,A5,任务清单!O:O,"已取消"))/SUMIF(任务清单!A:A,A5,任务清单!I:I))</f>
        <v/>
      </c>
    </row>
    <row r="6">
      <c r="A6" s="2" t="inlineStr">
        <is>
          <t>F-05</t>
        </is>
      </c>
      <c r="B6" s="2" t="inlineStr">
        <is>
          <t>管理空间</t>
        </is>
      </c>
      <c r="C6" s="2" t="inlineStr">
        <is>
          <t>编组功能</t>
        </is>
      </c>
      <c r="D6" s="2" t="inlineStr">
        <is>
          <t>节点编组管理</t>
        </is>
      </c>
      <c r="E6" s="2" t="inlineStr">
        <is>
          <t>框选多卡片编组/编组颜色选择/网格排列(自动网格布局)/水平排列(自动水平布局)/取消编组/下载编组内所有内容</t>
        </is>
      </c>
      <c r="F6" s="2" t="inlineStr"/>
      <c r="G6" s="2" t="inlineStr"/>
      <c r="H6" s="2" t="inlineStr">
        <is>
          <t>未开始</t>
        </is>
      </c>
      <c r="I6" s="2" t="inlineStr"/>
      <c r="J6" s="3">
        <f>SUMIF(任务清单!A:A,A6,任务清单!I:I)</f>
        <v/>
      </c>
      <c r="K6" s="3">
        <f>SUMIF(任务清单!A:A,A6,任务清单!J:J)</f>
        <v/>
      </c>
      <c r="L6" s="4">
        <f>IF(SUMIF(任务清单!A:A,A6,任务清单!I:I)=0,0,(SUMIFS(任务清单!I:I,任务清单!A:A,A6,任务清单!O:O,"已完成")+SUMIFS(任务清单!I:I,任务清单!A:A,A6,任务清单!O:O,"已取消"))/SUMIF(任务清单!A:A,A6,任务清单!I:I))</f>
        <v/>
      </c>
    </row>
    <row r="7">
      <c r="A7" s="5" t="inlineStr">
        <is>
          <t>F-06</t>
        </is>
      </c>
      <c r="B7" s="5" t="inlineStr">
        <is>
          <t>管理空间</t>
        </is>
      </c>
      <c r="C7" s="5" t="inlineStr">
        <is>
          <t>堆叠功能</t>
        </is>
      </c>
      <c r="D7" s="5" t="inlineStr">
        <is>
          <t>节点堆叠管理</t>
        </is>
      </c>
      <c r="E7" s="5" t="inlineStr">
        <is>
          <t>框选多卡片堆叠为一张卡片(拼图预览)/双击展开堆叠卡片/点击空白重新堆叠/拉出到画布(单独拉出某卡片)</t>
        </is>
      </c>
      <c r="F7" s="5" t="inlineStr"/>
      <c r="G7" s="5" t="inlineStr"/>
      <c r="H7" s="5" t="inlineStr">
        <is>
          <t>未开始</t>
        </is>
      </c>
      <c r="I7" s="5" t="inlineStr"/>
      <c r="J7" s="6">
        <f>SUMIF(任务清单!A:A,A7,任务清单!I:I)</f>
        <v/>
      </c>
      <c r="K7" s="6">
        <f>SUMIF(任务清单!A:A,A7,任务清单!J:J)</f>
        <v/>
      </c>
      <c r="L7" s="7">
        <f>IF(SUMIF(任务清单!A:A,A7,任务清单!I:I)=0,0,(SUMIFS(任务清单!I:I,任务清单!A:A,A7,任务清单!O:O,"已完成")+SUMIFS(任务清单!I:I,任务清单!A:A,A7,任务清单!O:O,"已取消"))/SUMIF(任务清单!A:A,A7,任务清单!I:I))</f>
        <v/>
      </c>
    </row>
    <row r="8">
      <c r="A8" s="2" t="inlineStr">
        <is>
          <t>F-07</t>
        </is>
      </c>
      <c r="B8" s="2" t="inlineStr">
        <is>
          <t>内容卡片</t>
        </is>
      </c>
      <c r="C8" s="2" t="inlineStr">
        <is>
          <t>文本卡片</t>
        </is>
      </c>
      <c r="D8" s="2" t="inlineStr">
        <is>
          <t>文本卡片创作</t>
        </is>
      </c>
      <c r="E8" s="2" t="inlineStr">
        <is>
          <t>文本编辑(Markdown/富文本)/上传参考/AI文本生成/模型选择/生成份数/消耗预览/保存至素材库/生成历史</t>
        </is>
      </c>
      <c r="F8" s="2" t="inlineStr"/>
      <c r="G8" s="2" t="inlineStr"/>
      <c r="H8" s="2" t="inlineStr">
        <is>
          <t>未开始</t>
        </is>
      </c>
      <c r="I8" s="2" t="inlineStr"/>
      <c r="J8" s="3">
        <f>SUMIF(任务清单!A:A,A8,任务清单!I:I)</f>
        <v/>
      </c>
      <c r="K8" s="3">
        <f>SUMIF(任务清单!A:A,A8,任务清单!J:J)</f>
        <v/>
      </c>
      <c r="L8" s="4">
        <f>IF(SUMIF(任务清单!A:A,A8,任务清单!I:I)=0,0,(SUMIFS(任务清单!I:I,任务清单!A:A,A8,任务清单!O:O,"已完成")+SUMIFS(任务清单!I:I,任务清单!A:A,A8,任务清单!O:O,"已取消"))/SUMIF(任务清单!A:A,A8,任务清单!I:I))</f>
        <v/>
      </c>
    </row>
    <row r="9">
      <c r="A9" s="5" t="inlineStr">
        <is>
          <t>F-08</t>
        </is>
      </c>
      <c r="B9" s="5" t="inlineStr">
        <is>
          <t>内容卡片</t>
        </is>
      </c>
      <c r="C9" s="5" t="inlineStr">
        <is>
          <t>图片卡片</t>
        </is>
      </c>
      <c r="D9" s="5" t="inlineStr">
        <is>
          <t>图片卡片创作</t>
        </is>
      </c>
      <c r="E9" s="5" t="inlineStr">
        <is>
          <t>图片上传/AI图片生成/参数选择(分辨率/风格/份数)/消耗预览/生成历史列表/下载/保存素材库/全屏预览</t>
        </is>
      </c>
      <c r="F9" s="5" t="inlineStr"/>
      <c r="G9" s="5" t="inlineStr"/>
      <c r="H9" s="5" t="inlineStr">
        <is>
          <t>未开始</t>
        </is>
      </c>
      <c r="I9" s="5" t="inlineStr"/>
      <c r="J9" s="6">
        <f>SUMIF(任务清单!A:A,A9,任务清单!I:I)</f>
        <v/>
      </c>
      <c r="K9" s="6">
        <f>SUMIF(任务清单!A:A,A9,任务清单!J:J)</f>
        <v/>
      </c>
      <c r="L9" s="7">
        <f>IF(SUMIF(任务清单!A:A,A9,任务清单!I:I)=0,0,(SUMIFS(任务清单!I:I,任务清单!A:A,A9,任务清单!O:O,"已完成")+SUMIFS(任务清单!I:I,任务清单!A:A,A9,任务清单!O:O,"已取消"))/SUMIF(任务清单!A:A,A9,任务清单!I:I))</f>
        <v/>
      </c>
    </row>
    <row r="10">
      <c r="A10" s="2" t="inlineStr">
        <is>
          <t>F-09</t>
        </is>
      </c>
      <c r="B10" s="2" t="inlineStr">
        <is>
          <t>内容卡片</t>
        </is>
      </c>
      <c r="C10" s="2" t="inlineStr">
        <is>
          <t>视频卡片</t>
        </is>
      </c>
      <c r="D10" s="2" t="inlineStr">
        <is>
          <t>视频卡片创作</t>
        </is>
      </c>
      <c r="E10" s="2" t="inlineStr">
        <is>
          <t>AI生成视频(调用模型)/模型选择/参数选择(运镜/风格/份数)/消耗预览/剪辑(拖动首尾边界)/提取帧(截取当前帧)/超分(选择分辨率)/认证(Seedance 2.0)/下载/存入素材库/全屏展示</t>
        </is>
      </c>
      <c r="F10" s="2" t="inlineStr"/>
      <c r="G10" s="2" t="inlineStr"/>
      <c r="H10" s="2" t="inlineStr">
        <is>
          <t>未开始</t>
        </is>
      </c>
      <c r="I10" s="2" t="inlineStr"/>
      <c r="J10" s="3">
        <f>SUMIF(任务清单!A:A,A10,任务清单!I:I)</f>
        <v/>
      </c>
      <c r="K10" s="3">
        <f>SUMIF(任务清单!A:A,A10,任务清单!J:J)</f>
        <v/>
      </c>
      <c r="L10" s="4">
        <f>IF(SUMIF(任务清单!A:A,A10,任务清单!I:I)=0,0,(SUMIFS(任务清单!I:I,任务清单!A:A,A10,任务清单!O:O,"已完成")+SUMIFS(任务清单!I:I,任务清单!A:A,A10,任务清单!O:O,"已取消"))/SUMIF(任务清单!A:A,A10,任务清单!I:I))</f>
        <v/>
      </c>
    </row>
    <row r="11">
      <c r="A11" s="5" t="inlineStr">
        <is>
          <t>F-10</t>
        </is>
      </c>
      <c r="B11" s="5" t="inlineStr">
        <is>
          <t>内容卡片</t>
        </is>
      </c>
      <c r="C11" s="5" t="inlineStr">
        <is>
          <t>音频卡片</t>
        </is>
      </c>
      <c r="D11" s="5" t="inlineStr">
        <is>
          <t>音频卡片创作</t>
        </is>
      </c>
      <c r="E11" s="5" t="inlineStr">
        <is>
          <t>上传参考/AI生成音频/模型选择/参数选择(风格/份数)/消耗预览/试听/下载/存入素材库</t>
        </is>
      </c>
      <c r="F11" s="5" t="inlineStr"/>
      <c r="G11" s="5" t="inlineStr"/>
      <c r="H11" s="5" t="inlineStr">
        <is>
          <t>未开始</t>
        </is>
      </c>
      <c r="I11" s="5" t="inlineStr"/>
      <c r="J11" s="6">
        <f>SUMIF(任务清单!A:A,A11,任务清单!I:I)</f>
        <v/>
      </c>
      <c r="K11" s="6">
        <f>SUMIF(任务清单!A:A,A11,任务清单!J:J)</f>
        <v/>
      </c>
      <c r="L11" s="7">
        <f>IF(SUMIF(任务清单!A:A,A11,任务清单!I:I)=0,0,(SUMIFS(任务清单!I:I,任务清单!A:A,A11,任务清单!O:O,"已完成")+SUMIFS(任务清单!I:I,任务清单!A:A,A11,任务清单!O:O,"已取消"))/SUMIF(任务清单!A:A,A11,任务清单!I:I))</f>
        <v/>
      </c>
    </row>
    <row r="12">
      <c r="A12" s="2" t="inlineStr">
        <is>
          <t>F-11</t>
        </is>
      </c>
      <c r="B12" s="2" t="inlineStr">
        <is>
          <t>生成增强</t>
        </is>
      </c>
      <c r="C12" s="2" t="inlineStr">
        <is>
          <t>合成节点</t>
        </is>
      </c>
      <c r="D12" s="2" t="inlineStr">
        <is>
          <t>视频合成节点</t>
        </is>
      </c>
      <c r="E12" s="2" t="inlineStr">
        <is>
          <t>接收多个视频节点输入/多段视频拼接预览/点击合成完成拼接/消耗预览/下载合成结果</t>
        </is>
      </c>
      <c r="F12" s="2" t="inlineStr"/>
      <c r="G12" s="2" t="inlineStr"/>
      <c r="H12" s="2" t="inlineStr">
        <is>
          <t>未开始</t>
        </is>
      </c>
      <c r="I12" s="2" t="inlineStr"/>
      <c r="J12" s="3">
        <f>SUMIF(任务清单!A:A,A12,任务清单!I:I)</f>
        <v/>
      </c>
      <c r="K12" s="3">
        <f>SUMIF(任务清单!A:A,A12,任务清单!J:J)</f>
        <v/>
      </c>
      <c r="L12" s="4">
        <f>IF(SUMIF(任务清单!A:A,A12,任务清单!I:I)=0,0,(SUMIFS(任务清单!I:I,任务清单!A:A,A12,任务清单!O:O,"已完成")+SUMIFS(任务清单!I:I,任务清单!A:A,A12,任务清单!O:O,"已取消"))/SUMIF(任务清单!A:A,A12,任务清单!I:I))</f>
        <v/>
      </c>
    </row>
    <row r="13">
      <c r="A13" s="5" t="inlineStr">
        <is>
          <t>F-12</t>
        </is>
      </c>
      <c r="B13" s="5" t="inlineStr">
        <is>
          <t>生成增强</t>
        </is>
      </c>
      <c r="C13" s="5" t="inlineStr">
        <is>
          <t>导演台</t>
        </is>
      </c>
      <c r="D13" s="5" t="inlineStr">
        <is>
          <t>导演台节点</t>
        </is>
      </c>
      <c r="E13" s="5" t="inlineStr">
        <is>
          <t>作为图片/视频节点上游输入/进入导演台编辑页/新增模型(从列表选择)/修改模型参数(场景/人物/颜色/位置/大小/姿势)/拖拽滚轴调整参数/删除模型/调整视角/拍照(生成当前场景截图输出)</t>
        </is>
      </c>
      <c r="F13" s="5" t="inlineStr"/>
      <c r="G13" s="5" t="inlineStr"/>
      <c r="H13" s="5" t="inlineStr">
        <is>
          <t>未开始</t>
        </is>
      </c>
      <c r="I13" s="5" t="inlineStr"/>
      <c r="J13" s="6">
        <f>SUMIF(任务清单!A:A,A13,任务清单!I:I)</f>
        <v/>
      </c>
      <c r="K13" s="6">
        <f>SUMIF(任务清单!A:A,A13,任务清单!J:J)</f>
        <v/>
      </c>
      <c r="L13" s="7">
        <f>IF(SUMIF(任务清单!A:A,A13,任务清单!I:I)=0,0,(SUMIFS(任务清单!I:I,任务清单!A:A,A13,任务清单!O:O,"已完成")+SUMIFS(任务清单!I:I,任务清单!A:A,A13,任务清单!O:O,"已取消"))/SUMIF(任务清单!A:A,A13,任务清单!I:I))</f>
        <v/>
      </c>
    </row>
    <row r="14">
      <c r="A14" s="2" t="inlineStr">
        <is>
          <t>F-13</t>
        </is>
      </c>
      <c r="B14" s="2" t="inlineStr">
        <is>
          <t>素材库</t>
        </is>
      </c>
      <c r="C14" s="2" t="inlineStr">
        <is>
          <t>个人素材库</t>
        </is>
      </c>
      <c r="D14" s="2" t="inlineStr">
        <is>
          <t>素材库管理</t>
        </is>
      </c>
      <c r="E14" s="2" t="inlineStr">
        <is>
          <t>侧边栏展示/图标模式列表模式切换/从画布卡片存入/本地上传/拖拽素材到画布/导入画布/下载素材/替换素材/删除素材/重命名素材/全屏预览素材/添加到企业素材库</t>
        </is>
      </c>
      <c r="F14" s="2" t="inlineStr"/>
      <c r="G14" s="2" t="inlineStr"/>
      <c r="H14" s="2" t="inlineStr">
        <is>
          <t>未开始</t>
        </is>
      </c>
      <c r="I14" s="2" t="inlineStr"/>
      <c r="J14" s="3">
        <f>SUMIF(任务清单!A:A,A14,任务清单!I:I)</f>
        <v/>
      </c>
      <c r="K14" s="3">
        <f>SUMIF(任务清单!A:A,A14,任务清单!J:J)</f>
        <v/>
      </c>
      <c r="L14" s="4">
        <f>IF(SUMIF(任务清单!A:A,A14,任务清单!I:I)=0,0,(SUMIFS(任务清单!I:I,任务清单!A:A,A14,任务清单!O:O,"已完成")+SUMIFS(任务清单!I:I,任务清单!A:A,A14,任务清单!O:O,"已取消"))/SUMIF(任务清单!A:A,A14,任务清单!I:I))</f>
        <v/>
      </c>
    </row>
    <row r="15">
      <c r="A15" s="5" t="inlineStr">
        <is>
          <t>F-14</t>
        </is>
      </c>
      <c r="B15" s="5" t="inlineStr">
        <is>
          <t>Agent</t>
        </is>
      </c>
      <c r="C15" s="5" t="inlineStr">
        <is>
          <t>对话交互</t>
        </is>
      </c>
      <c r="D15" s="5" t="inlineStr">
        <is>
          <t>Agent对话交互</t>
        </is>
      </c>
      <c r="E15" s="5" t="inlineStr">
        <is>
          <t>自然语言驱动画布创作/实时理解画布上下文(读取节点/关系/操作)/全流程自动创作(灵感→资料→生成→排版)/多轮持续对话/创作建议</t>
        </is>
      </c>
      <c r="F15" s="5" t="inlineStr"/>
      <c r="G15" s="5" t="inlineStr"/>
      <c r="H15" s="5" t="inlineStr">
        <is>
          <t>未开始</t>
        </is>
      </c>
      <c r="I15" s="5" t="inlineStr"/>
      <c r="J15" s="6">
        <f>SUMIF(任务清单!A:A,A15,任务清单!I:I)</f>
        <v/>
      </c>
      <c r="K15" s="6">
        <f>SUMIF(任务清单!A:A,A15,任务清单!J:J)</f>
        <v/>
      </c>
      <c r="L15" s="7">
        <f>IF(SUMIF(任务清单!A:A,A15,任务清单!I:I)=0,0,(SUMIFS(任务清单!I:I,任务清单!A:A,A15,任务清单!O:O,"已完成")+SUMIFS(任务清单!I:I,任务清单!A:A,A15,任务清单!O:O,"已取消"))/SUMIF(任务清单!A:A,A15,任务清单!I:I))</f>
        <v/>
      </c>
    </row>
    <row r="16">
      <c r="A16" s="2" t="inlineStr">
        <is>
          <t>F-15</t>
        </is>
      </c>
      <c r="B16" s="2" t="inlineStr">
        <is>
          <t>Agent</t>
        </is>
      </c>
      <c r="C16" s="2" t="inlineStr">
        <is>
          <t>对话操作</t>
        </is>
      </c>
      <c r="D16" s="2" t="inlineStr">
        <is>
          <t>Agent面板与操作</t>
        </is>
      </c>
      <c r="E16" s="2" t="inlineStr">
        <is>
          <t>打开Agent对话框(右下角纸鹤图标)/收起对话框/偏好设置(文本/图片/视频模型及分辨率)/查看当前对话用量(Token/模型消耗/点数)</t>
        </is>
      </c>
      <c r="F16" s="2" t="inlineStr"/>
      <c r="G16" s="2" t="inlineStr"/>
      <c r="H16" s="2" t="inlineStr">
        <is>
          <t>未开始</t>
        </is>
      </c>
      <c r="I16" s="2" t="inlineStr"/>
      <c r="J16" s="3">
        <f>SUMIF(任务清单!A:A,A16,任务清单!I:I)</f>
        <v/>
      </c>
      <c r="K16" s="3">
        <f>SUMIF(任务清单!A:A,A16,任务清单!J:J)</f>
        <v/>
      </c>
      <c r="L16" s="4">
        <f>IF(SUMIF(任务清单!A:A,A16,任务清单!I:I)=0,0,(SUMIFS(任务清单!I:I,任务清单!A:A,A16,任务清单!O:O,"已完成")+SUMIFS(任务清单!I:I,任务清单!A:A,A16,任务清单!O:O,"已取消"))/SUMIF(任务清单!A:A,A16,任务清单!I:I))</f>
        <v/>
      </c>
    </row>
    <row r="17">
      <c r="A17" s="5" t="inlineStr">
        <is>
          <t>F-16</t>
        </is>
      </c>
      <c r="B17" s="5" t="inlineStr">
        <is>
          <t>Agent</t>
        </is>
      </c>
      <c r="C17" s="5" t="inlineStr">
        <is>
          <t>Skill系统</t>
        </is>
      </c>
      <c r="D17" s="5" t="inlineStr">
        <is>
          <t>Skill管理</t>
        </is>
      </c>
      <c r="E17" s="5" t="inlineStr">
        <is>
          <t>Skill选择入口/预设Skill列表浏览/按名称描述搜索Skill/单击选中添加/新建Skill(空白创建/从对话生成/上传.md文件)/Skill管理与切换/Skill内容查看</t>
        </is>
      </c>
      <c r="F17" s="5" t="inlineStr"/>
      <c r="G17" s="5" t="inlineStr"/>
      <c r="H17" s="5" t="inlineStr">
        <is>
          <t>未开始</t>
        </is>
      </c>
      <c r="I17" s="5" t="inlineStr"/>
      <c r="J17" s="6">
        <f>SUMIF(任务清单!A:A,A17,任务清单!I:I)</f>
        <v/>
      </c>
      <c r="K17" s="6">
        <f>SUMIF(任务清单!A:A,A17,任务清单!J:J)</f>
        <v/>
      </c>
      <c r="L17" s="7">
        <f>IF(SUMIF(任务清单!A:A,A17,任务清单!I:I)=0,0,(SUMIFS(任务清单!I:I,任务清单!A:A,A17,任务清单!O:O,"已完成")+SUMIFS(任务清单!I:I,任务清单!A:A,A17,任务清单!O:O,"已取消"))/SUMIF(任务清单!A:A,A17,任务清单!I:I))</f>
        <v/>
      </c>
    </row>
    <row r="18">
      <c r="A18" s="2" t="inlineStr">
        <is>
          <t>F-17</t>
        </is>
      </c>
      <c r="B18" s="2" t="inlineStr">
        <is>
          <t>Agent</t>
        </is>
      </c>
      <c r="C18" s="2" t="inlineStr">
        <is>
          <t>对话历史</t>
        </is>
      </c>
      <c r="D18" s="2" t="inlineStr">
        <is>
          <t>对话历史管理</t>
        </is>
      </c>
      <c r="E18" s="2" t="inlineStr">
        <is>
          <t>查看当前画布对话历史/查看其他画布对话历史/新建对话/保存会话片段(多画布复用)/查看可复用对话历史</t>
        </is>
      </c>
      <c r="F18" s="2" t="inlineStr"/>
      <c r="G18" s="2" t="inlineStr"/>
      <c r="H18" s="2" t="inlineStr">
        <is>
          <t>未开始</t>
        </is>
      </c>
      <c r="I18" s="2" t="inlineStr"/>
      <c r="J18" s="3">
        <f>SUMIF(任务清单!A:A,A18,任务清单!I:I)</f>
        <v/>
      </c>
      <c r="K18" s="3">
        <f>SUMIF(任务清单!A:A,A18,任务清单!J:J)</f>
        <v/>
      </c>
      <c r="L18" s="4">
        <f>IF(SUMIF(任务清单!A:A,A18,任务清单!I:I)=0,0,(SUMIFS(任务清单!I:I,任务清单!A:A,A18,任务清单!O:O,"已完成")+SUMIFS(任务清单!I:I,任务清单!A:A,A18,任务清单!O:O,"已取消"))/SUMIF(任务清单!A:A,A18,任务清单!I:I))</f>
        <v/>
      </c>
    </row>
    <row r="19">
      <c r="A19" s="5" t="inlineStr">
        <is>
          <t>F-18</t>
        </is>
      </c>
      <c r="B19" s="5" t="inlineStr">
        <is>
          <t>Agent</t>
        </is>
      </c>
      <c r="C19" s="5" t="inlineStr">
        <is>
          <t>记忆系统</t>
        </is>
      </c>
      <c r="D19" s="5" t="inlineStr">
        <is>
          <t>记忆系统</t>
        </is>
      </c>
      <c r="E19" s="5" t="inlineStr">
        <is>
          <t>短期记忆(理解当前session创作上下文)/长期记忆(记录用户偏好/风格/方向/习惯)/查看删除长期记忆</t>
        </is>
      </c>
      <c r="F19" s="5" t="inlineStr"/>
      <c r="G19" s="5" t="inlineStr"/>
      <c r="H19" s="5" t="inlineStr">
        <is>
          <t>未开始</t>
        </is>
      </c>
      <c r="I19" s="5" t="inlineStr"/>
      <c r="J19" s="6">
        <f>SUMIF(任务清单!A:A,A19,任务清单!I:I)</f>
        <v/>
      </c>
      <c r="K19" s="6">
        <f>SUMIF(任务清单!A:A,A19,任务清单!J:J)</f>
        <v/>
      </c>
      <c r="L19" s="7">
        <f>IF(SUMIF(任务清单!A:A,A19,任务清单!I:I)=0,0,(SUMIFS(任务清单!I:I,任务清单!A:A,A19,任务清单!O:O,"已完成")+SUMIFS(任务清单!I:I,任务清单!A:A,A19,任务清单!O:O,"已取消"))/SUMIF(任务清单!A:A,A19,任务清单!I:I))</f>
        <v/>
      </c>
    </row>
    <row r="20">
      <c r="A20" s="2" t="inlineStr">
        <is>
          <t>F-19</t>
        </is>
      </c>
      <c r="B20" s="2" t="inlineStr">
        <is>
          <t>用户系统</t>
        </is>
      </c>
      <c r="C20" s="2" t="inlineStr">
        <is>
          <t>订阅菜单</t>
        </is>
      </c>
      <c r="D20" s="2" t="inlineStr">
        <is>
          <t>订阅与点数</t>
        </is>
      </c>
      <c r="E20" s="2" t="inlineStr">
        <is>
          <t>查看用户名/ID/个人点数/总可用点数/查看个人订阅方案/订阅个人方案/购买点数/查看企业方案优势/获取顾问联系方式/界面设置(亮暗主题/中英文)</t>
        </is>
      </c>
      <c r="F20" s="2" t="inlineStr"/>
      <c r="G20" s="2" t="inlineStr"/>
      <c r="H20" s="2" t="inlineStr">
        <is>
          <t>未开始</t>
        </is>
      </c>
      <c r="I20" s="2" t="inlineStr"/>
      <c r="J20" s="3">
        <f>SUMIF(任务清单!A:A,A20,任务清单!I:I)</f>
        <v/>
      </c>
      <c r="K20" s="3">
        <f>SUMIF(任务清单!A:A,A20,任务清单!J:J)</f>
        <v/>
      </c>
      <c r="L20" s="4">
        <f>IF(SUMIF(任务清单!A:A,A20,任务清单!I:I)=0,0,(SUMIFS(任务清单!I:I,任务清单!A:A,A20,任务清单!O:O,"已完成")+SUMIFS(任务清单!I:I,任务清单!A:A,A20,任务清单!O:O,"已取消"))/SUMIF(任务清单!A:A,A20,任务清单!I:I))</f>
        <v/>
      </c>
    </row>
    <row r="21">
      <c r="A21" s="5" t="inlineStr">
        <is>
          <t>F-20</t>
        </is>
      </c>
      <c r="B21" s="5" t="inlineStr">
        <is>
          <t>管理空间</t>
        </is>
      </c>
      <c r="C21" s="5" t="inlineStr">
        <is>
          <t>分享画布</t>
        </is>
      </c>
      <c r="D21" s="5" t="inlineStr">
        <is>
          <t>画布分享功能</t>
        </is>
      </c>
      <c r="E21" s="5" t="inlineStr">
        <is>
          <t>生成共享链接/管理共享状态/上传到创意工坊</t>
        </is>
      </c>
      <c r="F21" s="5" t="inlineStr"/>
      <c r="G21" s="5" t="inlineStr"/>
      <c r="H21" s="5" t="inlineStr">
        <is>
          <t>未开始</t>
        </is>
      </c>
      <c r="I21" s="5" t="inlineStr"/>
      <c r="J21" s="6">
        <f>SUMIF(任务清单!A:A,A21,任务清单!I:I)</f>
        <v/>
      </c>
      <c r="K21" s="6">
        <f>SUMIF(任务清单!A:A,A21,任务清单!J:J)</f>
        <v/>
      </c>
      <c r="L21" s="7">
        <f>IF(SUMIF(任务清单!A:A,A21,任务清单!I:I)=0,0,(SUMIFS(任务清单!I:I,任务清单!A:A,A21,任务清单!O:O,"已完成")+SUMIFS(任务清单!I:I,任务清单!A:A,A21,任务清单!O:O,"已取消"))/SUMIF(任务清单!A:A,A21,任务清单!I:I))</f>
        <v/>
      </c>
    </row>
    <row r="22">
      <c r="A22" s="2" t="inlineStr">
        <is>
          <t>F-21</t>
        </is>
      </c>
      <c r="B22" s="2" t="inlineStr">
        <is>
          <t>用户系统</t>
        </is>
      </c>
      <c r="C22" s="2" t="inlineStr">
        <is>
          <t>奖励中心</t>
        </is>
      </c>
      <c r="D22" s="2" t="inlineStr">
        <is>
          <t>奖励与签到</t>
        </is>
      </c>
      <c r="E22" s="2" t="inlineStr">
        <is>
          <t>每日签到/查看每日任务和完成状态</t>
        </is>
      </c>
      <c r="F22" s="2" t="inlineStr"/>
      <c r="G22" s="2" t="inlineStr"/>
      <c r="H22" s="2" t="inlineStr">
        <is>
          <t>未开始</t>
        </is>
      </c>
      <c r="I22" s="2" t="inlineStr"/>
      <c r="J22" s="3">
        <f>SUMIF(任务清单!A:A,A22,任务清单!I:I)</f>
        <v/>
      </c>
      <c r="K22" s="3">
        <f>SUMIF(任务清单!A:A,A22,任务清单!J:J)</f>
        <v/>
      </c>
      <c r="L22" s="4">
        <f>IF(SUMIF(任务清单!A:A,A22,任务清单!I:I)=0,0,(SUMIFS(任务清单!I:I,任务清单!A:A,A22,任务清单!O:O,"已完成")+SUMIFS(任务清单!I:I,任务清单!A:A,A22,任务清单!O:O,"已取消"))/SUMIF(任务清单!A:A,A22,任务清单!I:I))</f>
        <v/>
      </c>
    </row>
    <row r="23">
      <c r="A23" s="5" t="inlineStr">
        <is>
          <t>F-22</t>
        </is>
      </c>
      <c r="B23" s="5" t="inlineStr">
        <is>
          <t>用户系统</t>
        </is>
      </c>
      <c r="C23" s="5" t="inlineStr">
        <is>
          <t>邀请中心</t>
        </is>
      </c>
      <c r="D23" s="5" t="inlineStr">
        <is>
          <t>邀请系统</t>
        </is>
      </c>
      <c r="E23" s="5" t="inlineStr">
        <is>
          <t>查看我的邀请码和邀请链接/查看邀请人数/输入邀请码接受邀请/查看成功邀请记录/查看指南/反馈建议</t>
        </is>
      </c>
      <c r="F23" s="5" t="inlineStr"/>
      <c r="G23" s="5" t="inlineStr"/>
      <c r="H23" s="5" t="inlineStr">
        <is>
          <t>未开始</t>
        </is>
      </c>
      <c r="I23" s="5" t="inlineStr"/>
      <c r="J23" s="6">
        <f>SUMIF(任务清单!A:A,A23,任务清单!I:I)</f>
        <v/>
      </c>
      <c r="K23" s="6">
        <f>SUMIF(任务清单!A:A,A23,任务清单!J:J)</f>
        <v/>
      </c>
      <c r="L23" s="7">
        <f>IF(SUMIF(任务清单!A:A,A23,任务清单!I:I)=0,0,(SUMIFS(任务清单!I:I,任务清单!A:A,A23,任务清单!O:O,"已完成")+SUMIFS(任务清单!I:I,任务清单!A:A,A23,任务清单!O:O,"已取消"))/SUMIF(任务清单!A:A,A23,任务清单!I:I))</f>
        <v/>
      </c>
    </row>
    <row r="24">
      <c r="A24" s="2" t="inlineStr">
        <is>
          <t>F-23</t>
        </is>
      </c>
      <c r="B24" s="2" t="inlineStr">
        <is>
          <t>管理空间</t>
        </is>
      </c>
      <c r="C24" s="2" t="inlineStr">
        <is>
          <t>历史记录</t>
        </is>
      </c>
      <c r="D24" s="2" t="inlineStr">
        <is>
          <t>任务历史</t>
        </is>
      </c>
      <c r="E24" s="2" t="inlineStr">
        <is>
          <t>查看所有画布生成任务记录/记录字段(时间/缩略图/模态/模型/点数/提示词)/按提示词搜索/按模型搜索/按模态筛选/按状态筛选/按时间范围筛选/重置/刷新/复制提示词</t>
        </is>
      </c>
      <c r="F24" s="2" t="inlineStr"/>
      <c r="G24" s="2" t="inlineStr"/>
      <c r="H24" s="2" t="inlineStr">
        <is>
          <t>未开始</t>
        </is>
      </c>
      <c r="I24" s="2" t="inlineStr"/>
      <c r="J24" s="3">
        <f>SUMIF(任务清单!A:A,A24,任务清单!I:I)</f>
        <v/>
      </c>
      <c r="K24" s="3">
        <f>SUMIF(任务清单!A:A,A24,任务清单!J:J)</f>
        <v/>
      </c>
      <c r="L24" s="4">
        <f>IF(SUMIF(任务清单!A:A,A24,任务清单!I:I)=0,0,(SUMIFS(任务清单!I:I,任务清单!A:A,A24,任务清单!O:O,"已完成")+SUMIFS(任务清单!I:I,任务清单!A:A,A24,任务清单!O:O,"已取消"))/SUMIF(任务清单!A:A,A24,任务清单!I:I))</f>
        <v/>
      </c>
    </row>
    <row r="25">
      <c r="A25" s="5" t="inlineStr">
        <is>
          <t>F-24</t>
        </is>
      </c>
      <c r="B25" s="5" t="inlineStr">
        <is>
          <t>管理空间</t>
        </is>
      </c>
      <c r="C25" s="5" t="inlineStr">
        <is>
          <t>创意广场</t>
        </is>
      </c>
      <c r="D25" s="5" t="inlineStr">
        <is>
          <t>创意广场页面</t>
        </is>
      </c>
      <c r="E25" s="5" t="inlineStr">
        <is>
          <t>浏览站内公开画布作品/成品预览(上下切换)/查看画布制作过程(节点流程图)/一键克隆画布到个人空间/灵感发现与模板复用/搜索/全屏观看/删除自己上传的作品</t>
        </is>
      </c>
      <c r="F25" s="5" t="inlineStr"/>
      <c r="G25" s="5" t="inlineStr"/>
      <c r="H25" s="5" t="inlineStr">
        <is>
          <t>未开始</t>
        </is>
      </c>
      <c r="I25" s="5" t="inlineStr"/>
      <c r="J25" s="6">
        <f>SUMIF(任务清单!A:A,A25,任务清单!I:I)</f>
        <v/>
      </c>
      <c r="K25" s="6">
        <f>SUMIF(任务清单!A:A,A25,任务清单!J:J)</f>
        <v/>
      </c>
      <c r="L25" s="7">
        <f>IF(SUMIF(任务清单!A:A,A25,任务清单!I:I)=0,0,(SUMIFS(任务清单!I:I,任务清单!A:A,A25,任务清单!O:O,"已完成")+SUMIFS(任务清单!I:I,任务清单!A:A,A25,任务清单!O:O,"已取消"))/SUMIF(任务清单!A:A,A25,任务清单!I:I))</f>
        <v/>
      </c>
    </row>
    <row r="26">
      <c r="A26" s="2" t="inlineStr">
        <is>
          <t>F-25</t>
        </is>
      </c>
      <c r="B26" s="2" t="inlineStr">
        <is>
          <t>用户系统</t>
        </is>
      </c>
      <c r="C26" s="2" t="inlineStr">
        <is>
          <t>个人中心</t>
        </is>
      </c>
      <c r="D26" s="2" t="inlineStr">
        <is>
          <t>个人中心页面</t>
        </is>
      </c>
      <c r="E26" s="2" t="inlineStr">
        <is>
          <t>账户身份信息/当前剩余点数/点数消耗情况总览/每日签到入口/界面设置/退出登录</t>
        </is>
      </c>
      <c r="F26" s="2" t="inlineStr"/>
      <c r="G26" s="2" t="inlineStr"/>
      <c r="H26" s="2" t="inlineStr">
        <is>
          <t>未开始</t>
        </is>
      </c>
      <c r="I26" s="2" t="inlineStr"/>
      <c r="J26" s="3">
        <f>SUMIF(任务清单!A:A,A26,任务清单!I:I)</f>
        <v/>
      </c>
      <c r="K26" s="3">
        <f>SUMIF(任务清单!A:A,A26,任务清单!J:J)</f>
        <v/>
      </c>
      <c r="L26" s="4">
        <f>IF(SUMIF(任务清单!A:A,A26,任务清单!I:I)=0,0,(SUMIFS(任务清单!I:I,任务清单!A:A,A26,任务清单!O:O,"已完成")+SUMIFS(任务清单!I:I,任务清单!A:A,A26,任务清单!O:O,"已取消"))/SUMIF(任务清单!A:A,A26,任务清单!I:I))</f>
        <v/>
      </c>
    </row>
    <row r="27">
      <c r="A27" s="5" t="inlineStr">
        <is>
          <t>F-26</t>
        </is>
      </c>
      <c r="B27" s="5" t="inlineStr">
        <is>
          <t>企业中心</t>
        </is>
      </c>
      <c r="C27" s="5" t="inlineStr">
        <is>
          <t>企业邀请</t>
        </is>
      </c>
      <c r="D27" s="5" t="inlineStr">
        <is>
          <t>企业邀请与信息</t>
        </is>
      </c>
      <c r="E27" s="5" t="inlineStr">
        <is>
          <t>复制企业邀请链接/其他用户通过链接加入/企业名称展示/总点数展示/可分配点数展示</t>
        </is>
      </c>
      <c r="F27" s="5" t="inlineStr"/>
      <c r="G27" s="5" t="inlineStr"/>
      <c r="H27" s="5" t="inlineStr">
        <is>
          <t>未开始</t>
        </is>
      </c>
      <c r="I27" s="5" t="inlineStr"/>
      <c r="J27" s="6">
        <f>SUMIF(任务清单!A:A,A27,任务清单!I:I)</f>
        <v/>
      </c>
      <c r="K27" s="6">
        <f>SUMIF(任务清单!A:A,A27,任务清单!J:J)</f>
        <v/>
      </c>
      <c r="L27" s="7">
        <f>IF(SUMIF(任务清单!A:A,A27,任务清单!I:I)=0,0,(SUMIFS(任务清单!I:I,任务清单!A:A,A27,任务清单!O:O,"已完成")+SUMIFS(任务清单!I:I,任务清单!A:A,A27,任务清单!O:O,"已取消"))/SUMIF(任务清单!A:A,A27,任务清单!I:I))</f>
        <v/>
      </c>
    </row>
    <row r="28">
      <c r="A28" s="2" t="inlineStr">
        <is>
          <t>F-27</t>
        </is>
      </c>
      <c r="B28" s="2" t="inlineStr">
        <is>
          <t>企业中心</t>
        </is>
      </c>
      <c r="C28" s="2" t="inlineStr">
        <is>
          <t>成员管理</t>
        </is>
      </c>
      <c r="D28" s="2" t="inlineStr">
        <is>
          <t>成员管理</t>
        </is>
      </c>
      <c r="E28" s="2" t="inlineStr">
        <is>
          <t>团队成员列表/选择特定成员/为成员分配点数/回收成员点数/将成员移出企业</t>
        </is>
      </c>
      <c r="F28" s="2" t="inlineStr"/>
      <c r="G28" s="2" t="inlineStr"/>
      <c r="H28" s="2" t="inlineStr">
        <is>
          <t>未开始</t>
        </is>
      </c>
      <c r="I28" s="2" t="inlineStr"/>
      <c r="J28" s="3">
        <f>SUMIF(任务清单!A:A,A28,任务清单!I:I)</f>
        <v/>
      </c>
      <c r="K28" s="3">
        <f>SUMIF(任务清单!A:A,A28,任务清单!J:J)</f>
        <v/>
      </c>
      <c r="L28" s="4">
        <f>IF(SUMIF(任务清单!A:A,A28,任务清单!I:I)=0,0,(SUMIFS(任务清单!I:I,任务清单!A:A,A28,任务清单!O:O,"已完成")+SUMIFS(任务清单!I:I,任务清单!A:A,A28,任务清单!O:O,"已取消"))/SUMIF(任务清单!A:A,A28,任务清单!I:I))</f>
        <v/>
      </c>
    </row>
    <row r="29">
      <c r="A29" s="5" t="inlineStr">
        <is>
          <t>F-28</t>
        </is>
      </c>
      <c r="B29" s="5" t="inlineStr">
        <is>
          <t>企业中心</t>
        </is>
      </c>
      <c r="C29" s="5" t="inlineStr">
        <is>
          <t>企业素材库</t>
        </is>
      </c>
      <c r="D29" s="5" t="inlineStr">
        <is>
          <t>企业素材库</t>
        </is>
      </c>
      <c r="E29" s="5" t="inlineStr">
        <is>
          <t>查看企业素材库内容/团队素材共享与复用/分配记录统一管理</t>
        </is>
      </c>
      <c r="F29" s="5" t="inlineStr"/>
      <c r="G29" s="5" t="inlineStr"/>
      <c r="H29" s="5" t="inlineStr">
        <is>
          <t>未开始</t>
        </is>
      </c>
      <c r="I29" s="5" t="inlineStr"/>
      <c r="J29" s="6">
        <f>SUMIF(任务清单!A:A,A29,任务清单!I:I)</f>
        <v/>
      </c>
      <c r="K29" s="6">
        <f>SUMIF(任务清单!A:A,A29,任务清单!J:J)</f>
        <v/>
      </c>
      <c r="L29" s="7">
        <f>IF(SUMIF(任务清单!A:A,A29,任务清单!I:I)=0,0,(SUMIFS(任务清单!I:I,任务清单!A:A,A29,任务清单!O:O,"已完成")+SUMIFS(任务清单!I:I,任务清单!A:A,A29,任务清单!O:O,"已取消"))/SUMIF(任务清单!A:A,A29,任务清单!I:I))</f>
        <v/>
      </c>
    </row>
    <row r="30">
      <c r="A30" s="2" t="inlineStr">
        <is>
          <t>F-29</t>
        </is>
      </c>
      <c r="B30" s="2" t="inlineStr">
        <is>
          <t>企业中心</t>
        </is>
      </c>
      <c r="C30" s="2" t="inlineStr">
        <is>
          <t>分配记录</t>
        </is>
      </c>
      <c r="D30" s="2" t="inlineStr">
        <is>
          <t>分配记录管理</t>
        </is>
      </c>
      <c r="E30" s="2" t="inlineStr">
        <is>
          <t>查看分配时间/分配类型(分配/回收)/点数数值/操作后余额/导出CSV/搜索</t>
        </is>
      </c>
      <c r="F30" s="2" t="inlineStr"/>
      <c r="G30" s="2" t="inlineStr"/>
      <c r="H30" s="2" t="inlineStr">
        <is>
          <t>未开始</t>
        </is>
      </c>
      <c r="I30" s="2" t="inlineStr"/>
      <c r="J30" s="3">
        <f>SUMIF(任务清单!A:A,A30,任务清单!I:I)</f>
        <v/>
      </c>
      <c r="K30" s="3">
        <f>SUMIF(任务清单!A:A,A30,任务清单!J:J)</f>
        <v/>
      </c>
      <c r="L30" s="4">
        <f>IF(SUMIF(任务清单!A:A,A30,任务清单!I:I)=0,0,(SUMIFS(任务清单!I:I,任务清单!A:A,A30,任务清单!O:O,"已完成")+SUMIFS(任务清单!I:I,任务清单!A:A,A30,任务清单!O:O,"已取消"))/SUMIF(任务清单!A:A,A30,任务清单!I:I))</f>
        <v/>
      </c>
    </row>
    <row r="31">
      <c r="A31" s="5" t="inlineStr">
        <is>
          <t>F-30</t>
        </is>
      </c>
      <c r="B31" s="5" t="inlineStr">
        <is>
          <t>企业中心</t>
        </is>
      </c>
      <c r="C31" s="5" t="inlineStr">
        <is>
          <t>点数充值</t>
        </is>
      </c>
      <c r="D31" s="5" t="inlineStr">
        <is>
          <t>点数充值页面</t>
        </is>
      </c>
      <c r="E31" s="5" t="inlineStr">
        <is>
          <t>企业点数充值页面</t>
        </is>
      </c>
      <c r="F31" s="5" t="inlineStr"/>
      <c r="G31" s="5" t="inlineStr"/>
      <c r="H31" s="5" t="inlineStr">
        <is>
          <t>未开始</t>
        </is>
      </c>
      <c r="I31" s="5" t="inlineStr"/>
      <c r="J31" s="6">
        <f>SUMIF(任务清单!A:A,A31,任务清单!I:I)</f>
        <v/>
      </c>
      <c r="K31" s="6">
        <f>SUMIF(任务清单!A:A,A31,任务清单!J:J)</f>
        <v/>
      </c>
      <c r="L31" s="7">
        <f>IF(SUMIF(任务清单!A:A,A31,任务清单!I:I)=0,0,(SUMIFS(任务清单!I:I,任务清单!A:A,A31,任务清单!O:O,"已完成")+SUMIFS(任务清单!I:I,任务清单!A:A,A31,任务清单!O:O,"已取消"))/SUMIF(任务清单!A:A,A31,任务清单!I:I))</f>
        <v/>
      </c>
    </row>
    <row r="32">
      <c r="A32" s="2" t="inlineStr">
        <is>
          <t>F-31</t>
        </is>
      </c>
      <c r="B32" s="2" t="inlineStr">
        <is>
          <t>企业中心</t>
        </is>
      </c>
      <c r="C32" s="2" t="inlineStr">
        <is>
          <t>用量统计</t>
        </is>
      </c>
      <c r="D32" s="2" t="inlineStr">
        <is>
          <t>用量统计</t>
        </is>
      </c>
      <c r="E32" s="2" t="inlineStr">
        <is>
          <t>企业用量/个人用量切换查看/按时间范围筛选/点数消耗可视化</t>
        </is>
      </c>
      <c r="F32" s="2" t="inlineStr"/>
      <c r="G32" s="2" t="inlineStr"/>
      <c r="H32" s="2" t="inlineStr">
        <is>
          <t>未开始</t>
        </is>
      </c>
      <c r="I32" s="2" t="inlineStr"/>
      <c r="J32" s="3">
        <f>SUMIF(任务清单!A:A,A32,任务清单!I:I)</f>
        <v/>
      </c>
      <c r="K32" s="3">
        <f>SUMIF(任务清单!A:A,A32,任务清单!J:J)</f>
        <v/>
      </c>
      <c r="L32" s="4">
        <f>IF(SUMIF(任务清单!A:A,A32,任务清单!I:I)=0,0,(SUMIFS(任务清单!I:I,任务清单!A:A,A32,任务清单!O:O,"已完成")+SUMIFS(任务清单!I:I,任务清单!A:A,A32,任务清单!O:O,"已取消"))/SUMIF(任务清单!A:A,A32,任务清单!I:I))</f>
        <v/>
      </c>
    </row>
    <row r="33">
      <c r="A33" s="5" t="inlineStr">
        <is>
          <t>F-32</t>
        </is>
      </c>
      <c r="B33" s="5" t="inlineStr">
        <is>
          <t>企业中心</t>
        </is>
      </c>
      <c r="C33" s="5" t="inlineStr">
        <is>
          <t>账户设置</t>
        </is>
      </c>
      <c r="D33" s="5" t="inlineStr">
        <is>
          <t>账户设置</t>
        </is>
      </c>
      <c r="E33" s="5" t="inlineStr">
        <is>
          <t>修改企业名称/解散企业(二次确认)</t>
        </is>
      </c>
      <c r="F33" s="5" t="inlineStr"/>
      <c r="G33" s="5" t="inlineStr"/>
      <c r="H33" s="5" t="inlineStr">
        <is>
          <t>未开始</t>
        </is>
      </c>
      <c r="I33" s="5" t="inlineStr"/>
      <c r="J33" s="6">
        <f>SUMIF(任务清单!A:A,A33,任务清单!I:I)</f>
        <v/>
      </c>
      <c r="K33" s="6">
        <f>SUMIF(任务清单!A:A,A33,任务清单!J:J)</f>
        <v/>
      </c>
      <c r="L33" s="7">
        <f>IF(SUMIF(任务清单!A:A,A33,任务清单!I:I)=0,0,(SUMIFS(任务清单!I:I,任务清单!A:A,A33,任务清单!O:O,"已完成")+SUMIFS(任务清单!I:I,任务清单!A:A,A33,任务清单!O:O,"已取消"))/SUMIF(任务清单!A:A,A33,任务清单!I:I))</f>
        <v/>
      </c>
    </row>
    <row r="34">
      <c r="A34" s="2" t="inlineStr">
        <is>
          <t>F-33</t>
        </is>
      </c>
      <c r="B34" s="2" t="inlineStr">
        <is>
          <t>用户系统</t>
        </is>
      </c>
      <c r="C34" s="2" t="inlineStr">
        <is>
          <t>公告查看</t>
        </is>
      </c>
      <c r="D34" s="2" t="inlineStr">
        <is>
          <t>公告查看</t>
        </is>
      </c>
      <c r="E34" s="2" t="inlineStr">
        <is>
          <t>查看公告列表/公告详情弹窗</t>
        </is>
      </c>
      <c r="F34" s="2" t="inlineStr"/>
      <c r="G34" s="2" t="inlineStr"/>
      <c r="H34" s="2" t="inlineStr">
        <is>
          <t>未开始</t>
        </is>
      </c>
      <c r="I34" s="2" t="inlineStr"/>
      <c r="J34" s="3">
        <f>SUMIF(任务清单!A:A,A34,任务清单!I:I)</f>
        <v/>
      </c>
      <c r="K34" s="3">
        <f>SUMIF(任务清单!A:A,A34,任务清单!J:J)</f>
        <v/>
      </c>
      <c r="L34" s="4">
        <f>IF(SUMIF(任务清单!A:A,A34,任务清单!I:I)=0,0,(SUMIFS(任务清单!I:I,任务清单!A:A,A34,任务清单!O:O,"已完成")+SUMIFS(任务清单!I:I,任务清单!A:A,A34,任务清单!O:O,"已取消"))/SUMIF(任务清单!A:A,A34,任务清单!I:I))</f>
        <v/>
      </c>
    </row>
    <row r="35">
      <c r="A35" s="5" t="inlineStr">
        <is>
          <t>F-34</t>
        </is>
      </c>
      <c r="B35" s="5" t="inlineStr">
        <is>
          <t>通用</t>
        </is>
      </c>
      <c r="C35" s="5" t="inlineStr">
        <is>
          <t>状态处理</t>
        </is>
      </c>
      <c r="D35" s="5" t="inlineStr">
        <is>
          <t>生成状态与异常处理</t>
        </is>
      </c>
      <c r="E35" s="5" t="inlineStr">
        <is>
          <t>卡片生成状态展示(排队/执行/成功/失败)/失败原因展示/重试/取消/点数不足提示/充值入口/校验必填参数/模型状态</t>
        </is>
      </c>
      <c r="F35" s="5" t="inlineStr"/>
      <c r="G35" s="5" t="inlineStr"/>
      <c r="H35" s="5" t="inlineStr">
        <is>
          <t>未开始</t>
        </is>
      </c>
      <c r="I35" s="5" t="inlineStr"/>
      <c r="J35" s="6">
        <f>SUMIF(任务清单!A:A,A35,任务清单!I:I)</f>
        <v/>
      </c>
      <c r="K35" s="6">
        <f>SUMIF(任务清单!A:A,A35,任务清单!J:J)</f>
        <v/>
      </c>
      <c r="L35" s="7">
        <f>IF(SUMIF(任务清单!A:A,A35,任务清单!I:I)=0,0,(SUMIFS(任务清单!I:I,任务清单!A:A,A35,任务清单!O:O,"已完成")+SUMIFS(任务清单!I:I,任务清单!A:A,A35,任务清单!O:O,"已取消"))/SUMIF(任务清单!A:A,A35,任务清单!I:I))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48" customWidth="1" min="5" max="5"/>
    <col width="18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功能编号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功能说明</t>
        </is>
      </c>
      <c r="F1" s="1" t="inlineStr">
        <is>
          <t>设计说明</t>
        </is>
      </c>
      <c r="G1" s="1" t="inlineStr">
        <is>
          <t>负责人</t>
        </is>
      </c>
      <c r="H1" s="1" t="inlineStr">
        <is>
          <t>状态</t>
        </is>
      </c>
      <c r="I1" s="1" t="inlineStr">
        <is>
          <t>备注</t>
        </is>
      </c>
      <c r="J1" s="1" t="inlineStr">
        <is>
          <t>预估人天</t>
        </is>
      </c>
      <c r="K1" s="1" t="inlineStr">
        <is>
          <t>实际耗时</t>
        </is>
      </c>
      <c r="L1" s="1" t="inlineStr">
        <is>
          <t>完成度</t>
        </is>
      </c>
    </row>
    <row r="2">
      <c r="A2" s="2" t="inlineStr">
        <is>
          <t>B-01</t>
        </is>
      </c>
      <c r="B2" s="2" t="inlineStr">
        <is>
          <t>管理空间</t>
        </is>
      </c>
      <c r="C2" s="2" t="inlineStr">
        <is>
          <t>画布服务</t>
        </is>
      </c>
      <c r="D2" s="2" t="inlineStr">
        <is>
          <t>画布CRUD API</t>
        </is>
      </c>
      <c r="E2" s="2" t="inlineStr">
        <is>
          <t>画布创建/查询/更新/删除API/画布列表分页查询/缩略图生成/权限校验(仅所有者操作)</t>
        </is>
      </c>
      <c r="F2" s="2" t="inlineStr"/>
      <c r="G2" s="2" t="inlineStr"/>
      <c r="H2" s="2" t="inlineStr">
        <is>
          <t>未开始</t>
        </is>
      </c>
      <c r="I2" s="2" t="inlineStr"/>
      <c r="J2" s="3">
        <f>SUMIF(任务清单!A:A,A2,任务清单!I:I)</f>
        <v/>
      </c>
      <c r="K2" s="3">
        <f>SUMIF(任务清单!A:A,A2,任务清单!J:J)</f>
        <v/>
      </c>
      <c r="L2" s="4">
        <f>IF(SUMIF(任务清单!A:A,A2,任务清单!I:I)=0,0,(SUMIFS(任务清单!I:I,任务清单!A:A,A2,任务清单!O:O,"已完成")+SUMIFS(任务清单!I:I,任务清单!A:A,A2,任务清单!O:O,"已取消"))/SUMIF(任务清单!A:A,A2,任务清单!I:I))</f>
        <v/>
      </c>
    </row>
    <row r="3">
      <c r="A3" s="5" t="inlineStr">
        <is>
          <t>B-02</t>
        </is>
      </c>
      <c r="B3" s="5" t="inlineStr">
        <is>
          <t>管理空间</t>
        </is>
      </c>
      <c r="C3" s="5" t="inlineStr">
        <is>
          <t>画布服务</t>
        </is>
      </c>
      <c r="D3" s="5" t="inlineStr">
        <is>
          <t>画布导入导出API</t>
        </is>
      </c>
      <c r="E3" s="5" t="inlineStr">
        <is>
          <t>画布JSON序列化导出/JSON导入还原/版本号校验/格式兼容性检测/大画布性能优化</t>
        </is>
      </c>
      <c r="F3" s="5" t="inlineStr"/>
      <c r="G3" s="5" t="inlineStr"/>
      <c r="H3" s="5" t="inlineStr">
        <is>
          <t>未开始</t>
        </is>
      </c>
      <c r="I3" s="5" t="inlineStr"/>
      <c r="J3" s="6">
        <f>SUMIF(任务清单!A:A,A3,任务清单!I:I)</f>
        <v/>
      </c>
      <c r="K3" s="6">
        <f>SUMIF(任务清单!A:A,A3,任务清单!J:J)</f>
        <v/>
      </c>
      <c r="L3" s="7">
        <f>IF(SUMIF(任务清单!A:A,A3,任务清单!I:I)=0,0,(SUMIFS(任务清单!I:I,任务清单!A:A,A3,任务清单!O:O,"已完成")+SUMIFS(任务清单!I:I,任务清单!A:A,A3,任务清单!O:O,"已取消"))/SUMIF(任务清单!A:A,A3,任务清单!I:I))</f>
        <v/>
      </c>
    </row>
    <row r="4">
      <c r="A4" s="2" t="inlineStr">
        <is>
          <t>B-03</t>
        </is>
      </c>
      <c r="B4" s="2" t="inlineStr">
        <is>
          <t>管理空间</t>
        </is>
      </c>
      <c r="C4" s="2" t="inlineStr">
        <is>
          <t>画布服务</t>
        </is>
      </c>
      <c r="D4" s="2" t="inlineStr">
        <is>
          <t>画布数据存储API</t>
        </is>
      </c>
      <c r="E4" s="2" t="inlineStr">
        <is>
          <t>节点数据存储(位置/类型/参数/状态)/连线数据存储/编组堆叠数据/画布自动保存/并发写入版本控制</t>
        </is>
      </c>
      <c r="F4" s="2" t="inlineStr"/>
      <c r="G4" s="2" t="inlineStr"/>
      <c r="H4" s="2" t="inlineStr">
        <is>
          <t>未开始</t>
        </is>
      </c>
      <c r="I4" s="2" t="inlineStr"/>
      <c r="J4" s="3">
        <f>SUMIF(任务清单!A:A,A4,任务清单!I:I)</f>
        <v/>
      </c>
      <c r="K4" s="3">
        <f>SUMIF(任务清单!A:A,A4,任务清单!J:J)</f>
        <v/>
      </c>
      <c r="L4" s="4">
        <f>IF(SUMIF(任务清单!A:A,A4,任务清单!I:I)=0,0,(SUMIFS(任务清单!I:I,任务清单!A:A,A4,任务清单!O:O,"已完成")+SUMIFS(任务清单!I:I,任务清单!A:A,A4,任务清单!O:O,"已取消"))/SUMIF(任务清单!A:A,A4,任务清单!I:I))</f>
        <v/>
      </c>
    </row>
    <row r="5">
      <c r="A5" s="5" t="inlineStr">
        <is>
          <t>B-04</t>
        </is>
      </c>
      <c r="B5" s="5" t="inlineStr">
        <is>
          <t>管理空间</t>
        </is>
      </c>
      <c r="C5" s="5" t="inlineStr">
        <is>
          <t>连线服务</t>
        </is>
      </c>
      <c r="D5" s="5" t="inlineStr">
        <is>
          <t>连线与管理API</t>
        </is>
      </c>
      <c r="E5" s="5" t="inlineStr">
        <is>
          <t>连线校验规则(兼容性/自连接/重复连接阻止)/节点类型列表API/下游数据引用解析</t>
        </is>
      </c>
      <c r="F5" s="5" t="inlineStr"/>
      <c r="G5" s="5" t="inlineStr"/>
      <c r="H5" s="5" t="inlineStr">
        <is>
          <t>未开始</t>
        </is>
      </c>
      <c r="I5" s="5" t="inlineStr"/>
      <c r="J5" s="6">
        <f>SUMIF(任务清单!A:A,A5,任务清单!I:I)</f>
        <v/>
      </c>
      <c r="K5" s="6">
        <f>SUMIF(任务清单!A:A,A5,任务清单!J:J)</f>
        <v/>
      </c>
      <c r="L5" s="7">
        <f>IF(SUMIF(任务清单!A:A,A5,任务清单!I:I)=0,0,(SUMIFS(任务清单!I:I,任务清单!A:A,A5,任务清单!O:O,"已完成")+SUMIFS(任务清单!I:I,任务清单!A:A,A5,任务清单!O:O,"已取消"))/SUMIF(任务清单!A:A,A5,任务清单!I:I))</f>
        <v/>
      </c>
    </row>
    <row r="6">
      <c r="A6" s="2" t="inlineStr">
        <is>
          <t>B-05</t>
        </is>
      </c>
      <c r="B6" s="2" t="inlineStr">
        <is>
          <t>内容生成</t>
        </is>
      </c>
      <c r="C6" s="2" t="inlineStr">
        <is>
          <t>文本服务</t>
        </is>
      </c>
      <c r="D6" s="2" t="inlineStr">
        <is>
          <t>文本生成API</t>
        </is>
      </c>
      <c r="E6" s="2" t="inlineStr">
        <is>
          <t>AI文本生成接口/提示词校验/Markdown内容存储/上传参考处理</t>
        </is>
      </c>
      <c r="F6" s="2" t="inlineStr"/>
      <c r="G6" s="2" t="inlineStr"/>
      <c r="H6" s="2" t="inlineStr">
        <is>
          <t>未开始</t>
        </is>
      </c>
      <c r="I6" s="2" t="inlineStr"/>
      <c r="J6" s="3">
        <f>SUMIF(任务清单!A:A,A6,任务清单!I:I)</f>
        <v/>
      </c>
      <c r="K6" s="3">
        <f>SUMIF(任务清单!A:A,A6,任务清单!J:J)</f>
        <v/>
      </c>
      <c r="L6" s="4">
        <f>IF(SUMIF(任务清单!A:A,A6,任务清单!I:I)=0,0,(SUMIFS(任务清单!I:I,任务清单!A:A,A6,任务清单!O:O,"已完成")+SUMIFS(任务清单!I:I,任务清单!A:A,A6,任务清单!O:O,"已取消"))/SUMIF(任务清单!A:A,A6,任务清单!I:I))</f>
        <v/>
      </c>
    </row>
    <row r="7">
      <c r="A7" s="5" t="inlineStr">
        <is>
          <t>B-06</t>
        </is>
      </c>
      <c r="B7" s="5" t="inlineStr">
        <is>
          <t>内容生成</t>
        </is>
      </c>
      <c r="C7" s="5" t="inlineStr">
        <is>
          <t>图片服务</t>
        </is>
      </c>
      <c r="D7" s="5" t="inlineStr">
        <is>
          <t>图片生成API</t>
        </is>
      </c>
      <c r="E7" s="5" t="inlineStr">
        <is>
          <t>图片生成接口/多分辨率支持/风格参数映射/多份生成/图片裁剪(单图四宫格九宫格)/超分/扩图/认证(Seedance 2.0)/生成历史存储</t>
        </is>
      </c>
      <c r="F7" s="5" t="inlineStr"/>
      <c r="G7" s="5" t="inlineStr"/>
      <c r="H7" s="5" t="inlineStr">
        <is>
          <t>未开始</t>
        </is>
      </c>
      <c r="I7" s="5" t="inlineStr"/>
      <c r="J7" s="6">
        <f>SUMIF(任务清单!A:A,A7,任务清单!I:I)</f>
        <v/>
      </c>
      <c r="K7" s="6">
        <f>SUMIF(任务清单!A:A,A7,任务清单!J:J)</f>
        <v/>
      </c>
      <c r="L7" s="7">
        <f>IF(SUMIF(任务清单!A:A,A7,任务清单!I:I)=0,0,(SUMIFS(任务清单!I:I,任务清单!A:A,A7,任务清单!O:O,"已完成")+SUMIFS(任务清单!I:I,任务清单!A:A,A7,任务清单!O:O,"已取消"))/SUMIF(任务清单!A:A,A7,任务清单!I:I))</f>
        <v/>
      </c>
    </row>
    <row r="8">
      <c r="A8" s="2" t="inlineStr">
        <is>
          <t>B-07</t>
        </is>
      </c>
      <c r="B8" s="2" t="inlineStr">
        <is>
          <t>内容生成</t>
        </is>
      </c>
      <c r="C8" s="2" t="inlineStr">
        <is>
          <t>视频服务</t>
        </is>
      </c>
      <c r="D8" s="2" t="inlineStr">
        <is>
          <t>视频生成API</t>
        </is>
      </c>
      <c r="E8" s="2" t="inlineStr">
        <is>
          <t>视频生成接口/运镜参数映射/剪辑范围处理/帧提取/超分/认证(Seedance 2.0)/生成历史存储</t>
        </is>
      </c>
      <c r="F8" s="2" t="inlineStr"/>
      <c r="G8" s="2" t="inlineStr"/>
      <c r="H8" s="2" t="inlineStr">
        <is>
          <t>未开始</t>
        </is>
      </c>
      <c r="I8" s="2" t="inlineStr"/>
      <c r="J8" s="3">
        <f>SUMIF(任务清单!A:A,A8,任务清单!I:I)</f>
        <v/>
      </c>
      <c r="K8" s="3">
        <f>SUMIF(任务清单!A:A,A8,任务清单!J:J)</f>
        <v/>
      </c>
      <c r="L8" s="4">
        <f>IF(SUMIF(任务清单!A:A,A8,任务清单!I:I)=0,0,(SUMIFS(任务清单!I:I,任务清单!A:A,A8,任务清单!O:O,"已完成")+SUMIFS(任务清单!I:I,任务清单!A:A,A8,任务清单!O:O,"已取消"))/SUMIF(任务清单!A:A,A8,任务清单!I:I))</f>
        <v/>
      </c>
    </row>
    <row r="9">
      <c r="A9" s="5" t="inlineStr">
        <is>
          <t>B-08</t>
        </is>
      </c>
      <c r="B9" s="5" t="inlineStr">
        <is>
          <t>内容生成</t>
        </is>
      </c>
      <c r="C9" s="5" t="inlineStr">
        <is>
          <t>音频服务</t>
        </is>
      </c>
      <c r="D9" s="5" t="inlineStr">
        <is>
          <t>音频生成API</t>
        </is>
      </c>
      <c r="E9" s="5" t="inlineStr">
        <is>
          <t>音频生成接口/风格参数映射/多份生成/生成历史存储</t>
        </is>
      </c>
      <c r="F9" s="5" t="inlineStr"/>
      <c r="G9" s="5" t="inlineStr"/>
      <c r="H9" s="5" t="inlineStr">
        <is>
          <t>未开始</t>
        </is>
      </c>
      <c r="I9" s="5" t="inlineStr"/>
      <c r="J9" s="6">
        <f>SUMIF(任务清单!A:A,A9,任务清单!I:I)</f>
        <v/>
      </c>
      <c r="K9" s="6">
        <f>SUMIF(任务清单!A:A,A9,任务清单!J:J)</f>
        <v/>
      </c>
      <c r="L9" s="7">
        <f>IF(SUMIF(任务清单!A:A,A9,任务清单!I:I)=0,0,(SUMIFS(任务清单!I:I,任务清单!A:A,A9,任务清单!O:O,"已完成")+SUMIFS(任务清单!I:I,任务清单!A:A,A9,任务清单!O:O,"已取消"))/SUMIF(任务清单!A:A,A9,任务清单!I:I))</f>
        <v/>
      </c>
    </row>
    <row r="10">
      <c r="A10" s="2" t="inlineStr">
        <is>
          <t>B-09</t>
        </is>
      </c>
      <c r="B10" s="2" t="inlineStr">
        <is>
          <t>生成增强</t>
        </is>
      </c>
      <c r="C10" s="2" t="inlineStr">
        <is>
          <t>合成服务</t>
        </is>
      </c>
      <c r="D10" s="2" t="inlineStr">
        <is>
          <t>视频合成API</t>
        </is>
      </c>
      <c r="E10" s="2" t="inlineStr">
        <is>
          <t>多视频节点输入接收/视频拼接/合成任务队列/消耗计算/结果回调</t>
        </is>
      </c>
      <c r="F10" s="2" t="inlineStr"/>
      <c r="G10" s="2" t="inlineStr"/>
      <c r="H10" s="2" t="inlineStr">
        <is>
          <t>未开始</t>
        </is>
      </c>
      <c r="I10" s="2" t="inlineStr"/>
      <c r="J10" s="3">
        <f>SUMIF(任务清单!A:A,A10,任务清单!I:I)</f>
        <v/>
      </c>
      <c r="K10" s="3">
        <f>SUMIF(任务清单!A:A,A10,任务清单!J:J)</f>
        <v/>
      </c>
      <c r="L10" s="4">
        <f>IF(SUMIF(任务清单!A:A,A10,任务清单!I:I)=0,0,(SUMIFS(任务清单!I:I,任务清单!A:A,A10,任务清单!O:O,"已完成")+SUMIFS(任务清单!I:I,任务清单!A:A,A10,任务清单!O:O,"已取消"))/SUMIF(任务清单!A:A,A10,任务清单!I:I))</f>
        <v/>
      </c>
    </row>
    <row r="11">
      <c r="A11" s="5" t="inlineStr">
        <is>
          <t>B-10</t>
        </is>
      </c>
      <c r="B11" s="5" t="inlineStr">
        <is>
          <t>生成增强</t>
        </is>
      </c>
      <c r="C11" s="5" t="inlineStr">
        <is>
          <t>导演台服务</t>
        </is>
      </c>
      <c r="D11" s="5" t="inlineStr">
        <is>
          <t>导演台API</t>
        </is>
      </c>
      <c r="E11" s="5" t="inlineStr">
        <is>
          <t>场景模型管理/人物模型参数存储/位置姿态参数/拖拽参数同步/拍照(截图渲染)/视角调整API</t>
        </is>
      </c>
      <c r="F11" s="5" t="inlineStr"/>
      <c r="G11" s="5" t="inlineStr"/>
      <c r="H11" s="5" t="inlineStr">
        <is>
          <t>未开始</t>
        </is>
      </c>
      <c r="I11" s="5" t="inlineStr"/>
      <c r="J11" s="6">
        <f>SUMIF(任务清单!A:A,A11,任务清单!I:I)</f>
        <v/>
      </c>
      <c r="K11" s="6">
        <f>SUMIF(任务清单!A:A,A11,任务清单!J:J)</f>
        <v/>
      </c>
      <c r="L11" s="7">
        <f>IF(SUMIF(任务清单!A:A,A11,任务清单!I:I)=0,0,(SUMIFS(任务清单!I:I,任务清单!A:A,A11,任务清单!O:O,"已完成")+SUMIFS(任务清单!I:I,任务清单!A:A,A11,任务清单!O:O,"已取消"))/SUMIF(任务清单!A:A,A11,任务清单!I:I))</f>
        <v/>
      </c>
    </row>
    <row r="12">
      <c r="A12" s="2" t="inlineStr">
        <is>
          <t>B-11</t>
        </is>
      </c>
      <c r="B12" s="2" t="inlineStr">
        <is>
          <t>生成服务</t>
        </is>
      </c>
      <c r="C12" s="2" t="inlineStr">
        <is>
          <t>模型管理</t>
        </is>
      </c>
      <c r="D12" s="2" t="inlineStr">
        <is>
          <t>模型配置API</t>
        </is>
      </c>
      <c r="E12" s="2" t="inlineStr">
        <is>
          <t>模型列表(文本/图片/视频/音频)/模型信息查询/参数约束/可用状态查询/消耗点数查询</t>
        </is>
      </c>
      <c r="F12" s="2" t="inlineStr"/>
      <c r="G12" s="2" t="inlineStr"/>
      <c r="H12" s="2" t="inlineStr">
        <is>
          <t>未开始</t>
        </is>
      </c>
      <c r="I12" s="2" t="inlineStr"/>
      <c r="J12" s="3">
        <f>SUMIF(任务清单!A:A,A12,任务清单!I:I)</f>
        <v/>
      </c>
      <c r="K12" s="3">
        <f>SUMIF(任务清单!A:A,A12,任务清单!J:J)</f>
        <v/>
      </c>
      <c r="L12" s="4">
        <f>IF(SUMIF(任务清单!A:A,A12,任务清单!I:I)=0,0,(SUMIFS(任务清单!I:I,任务清单!A:A,A12,任务清单!O:O,"已完成")+SUMIFS(任务清单!I:I,任务清单!A:A,A12,任务清单!O:O,"已取消"))/SUMIF(任务清单!A:A,A12,任务清单!I:I))</f>
        <v/>
      </c>
    </row>
    <row r="13">
      <c r="A13" s="5" t="inlineStr">
        <is>
          <t>B-12</t>
        </is>
      </c>
      <c r="B13" s="5" t="inlineStr">
        <is>
          <t>生成服务</t>
        </is>
      </c>
      <c r="C13" s="5" t="inlineStr">
        <is>
          <t>任务队列</t>
        </is>
      </c>
      <c r="D13" s="5" t="inlineStr">
        <is>
          <t>生成任务调度API</t>
        </is>
      </c>
      <c r="E13" s="5" t="inlineStr">
        <is>
          <t>任务创建/参数校验/队列调度/状态管理(排队/执行/成功/失败)/WebSocket状态推送/幂等性控制/重试机制/任务历史存储</t>
        </is>
      </c>
      <c r="F13" s="5" t="inlineStr"/>
      <c r="G13" s="5" t="inlineStr"/>
      <c r="H13" s="5" t="inlineStr">
        <is>
          <t>未开始</t>
        </is>
      </c>
      <c r="I13" s="5" t="inlineStr"/>
      <c r="J13" s="6">
        <f>SUMIF(任务清单!A:A,A13,任务清单!I:I)</f>
        <v/>
      </c>
      <c r="K13" s="6">
        <f>SUMIF(任务清单!A:A,A13,任务清单!J:J)</f>
        <v/>
      </c>
      <c r="L13" s="7">
        <f>IF(SUMIF(任务清单!A:A,A13,任务清单!I:I)=0,0,(SUMIFS(任务清单!I:I,任务清单!A:A,A13,任务清单!O:O,"已完成")+SUMIFS(任务清单!I:I,任务清单!A:A,A13,任务清单!O:O,"已取消"))/SUMIF(任务清单!A:A,A13,任务清单!I:I))</f>
        <v/>
      </c>
    </row>
    <row r="14">
      <c r="A14" s="2" t="inlineStr">
        <is>
          <t>B-13</t>
        </is>
      </c>
      <c r="B14" s="2" t="inlineStr">
        <is>
          <t>生成服务</t>
        </is>
      </c>
      <c r="C14" s="2" t="inlineStr">
        <is>
          <t>第三方对接</t>
        </is>
      </c>
      <c r="D14" s="2" t="inlineStr">
        <is>
          <t>第三方模型API适配</t>
        </is>
      </c>
      <c r="E14" s="2" t="inlineStr">
        <is>
          <t>对接文本/图片/视频/音频各模型供应商/统一适配接口/超时重试/熔断降级/API Key管理</t>
        </is>
      </c>
      <c r="F14" s="2" t="inlineStr"/>
      <c r="G14" s="2" t="inlineStr"/>
      <c r="H14" s="2" t="inlineStr">
        <is>
          <t>未开始</t>
        </is>
      </c>
      <c r="I14" s="2" t="inlineStr"/>
      <c r="J14" s="3">
        <f>SUMIF(任务清单!A:A,A14,任务清单!I:I)</f>
        <v/>
      </c>
      <c r="K14" s="3">
        <f>SUMIF(任务清单!A:A,A14,任务清单!J:J)</f>
        <v/>
      </c>
      <c r="L14" s="4">
        <f>IF(SUMIF(任务清单!A:A,A14,任务清单!I:I)=0,0,(SUMIFS(任务清单!I:I,任务清单!A:A,A14,任务清单!O:O,"已完成")+SUMIFS(任务清单!I:I,任务清单!A:A,A14,任务清单!O:O,"已取消"))/SUMIF(任务清单!A:A,A14,任务清单!I:I))</f>
        <v/>
      </c>
    </row>
    <row r="15">
      <c r="A15" s="5" t="inlineStr">
        <is>
          <t>B-14</t>
        </is>
      </c>
      <c r="B15" s="5" t="inlineStr">
        <is>
          <t>计费系统</t>
        </is>
      </c>
      <c r="C15" s="5" t="inlineStr">
        <is>
          <t>点数管理</t>
        </is>
      </c>
      <c r="D15" s="5" t="inlineStr">
        <is>
          <t>点数核心API</t>
        </is>
      </c>
      <c r="E15" s="5" t="inlineStr">
        <is>
          <t>点数查询/消耗预览计算/预扣/冻结/实际结算/失败退还/异常回滚/事务一致性</t>
        </is>
      </c>
      <c r="F15" s="5" t="inlineStr"/>
      <c r="G15" s="5" t="inlineStr"/>
      <c r="H15" s="5" t="inlineStr">
        <is>
          <t>未开始</t>
        </is>
      </c>
      <c r="I15" s="5" t="inlineStr"/>
      <c r="J15" s="6">
        <f>SUMIF(任务清单!A:A,A15,任务清单!I:I)</f>
        <v/>
      </c>
      <c r="K15" s="6">
        <f>SUMIF(任务清单!A:A,A15,任务清单!J:J)</f>
        <v/>
      </c>
      <c r="L15" s="7">
        <f>IF(SUMIF(任务清单!A:A,A15,任务清单!I:I)=0,0,(SUMIFS(任务清单!I:I,任务清单!A:A,A15,任务清单!O:O,"已完成")+SUMIFS(任务清单!I:I,任务清单!A:A,A15,任务清单!O:O,"已取消"))/SUMIF(任务清单!A:A,A15,任务清单!I:I))</f>
        <v/>
      </c>
    </row>
    <row r="16">
      <c r="A16" s="2" t="inlineStr">
        <is>
          <t>B-15</t>
        </is>
      </c>
      <c r="B16" s="2" t="inlineStr">
        <is>
          <t>计费系统</t>
        </is>
      </c>
      <c r="C16" s="2" t="inlineStr">
        <is>
          <t>点数流水</t>
        </is>
      </c>
      <c r="D16" s="2" t="inlineStr">
        <is>
          <t>点数流水API</t>
        </is>
      </c>
      <c r="E16" s="2" t="inlineStr">
        <is>
          <t>流水记录/按账户查询/按任务追溯/CSV导出/对账/点数异常告警</t>
        </is>
      </c>
      <c r="F16" s="2" t="inlineStr"/>
      <c r="G16" s="2" t="inlineStr"/>
      <c r="H16" s="2" t="inlineStr">
        <is>
          <t>未开始</t>
        </is>
      </c>
      <c r="I16" s="2" t="inlineStr"/>
      <c r="J16" s="3">
        <f>SUMIF(任务清单!A:A,A16,任务清单!I:I)</f>
        <v/>
      </c>
      <c r="K16" s="3">
        <f>SUMIF(任务清单!A:A,A16,任务清单!J:J)</f>
        <v/>
      </c>
      <c r="L16" s="4">
        <f>IF(SUMIF(任务清单!A:A,A16,任务清单!I:I)=0,0,(SUMIFS(任务清单!I:I,任务清单!A:A,A16,任务清单!O:O,"已完成")+SUMIFS(任务清单!I:I,任务清单!A:A,A16,任务清单!O:O,"已取消"))/SUMIF(任务清单!A:A,A16,任务清单!I:I))</f>
        <v/>
      </c>
    </row>
    <row r="17">
      <c r="A17" s="5" t="inlineStr">
        <is>
          <t>B-16</t>
        </is>
      </c>
      <c r="B17" s="5" t="inlineStr">
        <is>
          <t>素材库</t>
        </is>
      </c>
      <c r="C17" s="5" t="inlineStr">
        <is>
          <t>存储服务</t>
        </is>
      </c>
      <c r="D17" s="5" t="inlineStr">
        <is>
          <t>文件存储API</t>
        </is>
      </c>
      <c r="E17" s="5" t="inlineStr">
        <is>
          <t>文件上传(格式大小校验)/恶意内容检测/对象存储/CDN/文件替换/素材下载</t>
        </is>
      </c>
      <c r="F17" s="5" t="inlineStr"/>
      <c r="G17" s="5" t="inlineStr"/>
      <c r="H17" s="5" t="inlineStr">
        <is>
          <t>未开始</t>
        </is>
      </c>
      <c r="I17" s="5" t="inlineStr"/>
      <c r="J17" s="6">
        <f>SUMIF(任务清单!A:A,A17,任务清单!I:I)</f>
        <v/>
      </c>
      <c r="K17" s="6">
        <f>SUMIF(任务清单!A:A,A17,任务清单!J:J)</f>
        <v/>
      </c>
      <c r="L17" s="7">
        <f>IF(SUMIF(任务清单!A:A,A17,任务清单!I:I)=0,0,(SUMIFS(任务清单!I:I,任务清单!A:A,A17,任务清单!O:O,"已完成")+SUMIFS(任务清单!I:I,任务清单!A:A,A17,任务清单!O:O,"已取消"))/SUMIF(任务清单!A:A,A17,任务清单!I:I))</f>
        <v/>
      </c>
    </row>
    <row r="18">
      <c r="A18" s="2" t="inlineStr">
        <is>
          <t>B-17</t>
        </is>
      </c>
      <c r="B18" s="2" t="inlineStr">
        <is>
          <t>素材库</t>
        </is>
      </c>
      <c r="C18" s="2" t="inlineStr">
        <is>
          <t>素材管理</t>
        </is>
      </c>
      <c r="D18" s="2" t="inlineStr">
        <is>
          <t>素材管理API</t>
        </is>
      </c>
      <c r="E18" s="2" t="inlineStr">
        <is>
          <t>素材CRUD/分类查询/图标列表模式/画布关联/拖拽引用/删除影响检测/个人→企业素材转移</t>
        </is>
      </c>
      <c r="F18" s="2" t="inlineStr"/>
      <c r="G18" s="2" t="inlineStr"/>
      <c r="H18" s="2" t="inlineStr">
        <is>
          <t>未开始</t>
        </is>
      </c>
      <c r="I18" s="2" t="inlineStr"/>
      <c r="J18" s="3">
        <f>SUMIF(任务清单!A:A,A18,任务清单!I:I)</f>
        <v/>
      </c>
      <c r="K18" s="3">
        <f>SUMIF(任务清单!A:A,A18,任务清单!J:J)</f>
        <v/>
      </c>
      <c r="L18" s="4">
        <f>IF(SUMIF(任务清单!A:A,A18,任务清单!I:I)=0,0,(SUMIFS(任务清单!I:I,任务清单!A:A,A18,任务清单!O:O,"已完成")+SUMIFS(任务清单!I:I,任务清单!A:A,A18,任务清单!O:O,"已取消"))/SUMIF(任务清单!A:A,A18,任务清单!I:I))</f>
        <v/>
      </c>
    </row>
    <row r="19">
      <c r="A19" s="5" t="inlineStr">
        <is>
          <t>B-18</t>
        </is>
      </c>
      <c r="B19" s="5" t="inlineStr">
        <is>
          <t>用户系统</t>
        </is>
      </c>
      <c r="C19" s="5" t="inlineStr">
        <is>
          <t>用户认证</t>
        </is>
      </c>
      <c r="D19" s="5" t="inlineStr">
        <is>
          <t>注册登录API</t>
        </is>
      </c>
      <c r="E19" s="5" t="inlineStr">
        <is>
          <t>注册/登录/密码加密/Token签发与刷新/JWT中间件/第三方登录/会话管理/退出登录</t>
        </is>
      </c>
      <c r="F19" s="5" t="inlineStr"/>
      <c r="G19" s="5" t="inlineStr"/>
      <c r="H19" s="5" t="inlineStr">
        <is>
          <t>未开始</t>
        </is>
      </c>
      <c r="I19" s="5" t="inlineStr"/>
      <c r="J19" s="6">
        <f>SUMIF(任务清单!A:A,A19,任务清单!I:I)</f>
        <v/>
      </c>
      <c r="K19" s="6">
        <f>SUMIF(任务清单!A:A,A19,任务清单!J:J)</f>
        <v/>
      </c>
      <c r="L19" s="7">
        <f>IF(SUMIF(任务清单!A:A,A19,任务清单!I:I)=0,0,(SUMIFS(任务清单!I:I,任务清单!A:A,A19,任务清单!O:O,"已完成")+SUMIFS(任务清单!I:I,任务清单!A:A,A19,任务清单!O:O,"已取消"))/SUMIF(任务清单!A:A,A19,任务清单!I:I))</f>
        <v/>
      </c>
    </row>
    <row r="20">
      <c r="A20" s="2" t="inlineStr">
        <is>
          <t>B-19</t>
        </is>
      </c>
      <c r="B20" s="2" t="inlineStr">
        <is>
          <t>用户系统</t>
        </is>
      </c>
      <c r="C20" s="2" t="inlineStr">
        <is>
          <t>用户信息</t>
        </is>
      </c>
      <c r="D20" s="2" t="inlineStr">
        <is>
          <t>用户信息API</t>
        </is>
      </c>
      <c r="E20" s="2" t="inlineStr">
        <is>
          <t>用户信息CRUD/偏好设置(亮暗主题/中英文)/个人中心数据聚合/用户名ID查询/订阅方案查询</t>
        </is>
      </c>
      <c r="F20" s="2" t="inlineStr"/>
      <c r="G20" s="2" t="inlineStr"/>
      <c r="H20" s="2" t="inlineStr">
        <is>
          <t>未开始</t>
        </is>
      </c>
      <c r="I20" s="2" t="inlineStr"/>
      <c r="J20" s="3">
        <f>SUMIF(任务清单!A:A,A20,任务清单!I:I)</f>
        <v/>
      </c>
      <c r="K20" s="3">
        <f>SUMIF(任务清单!A:A,A20,任务清单!J:J)</f>
        <v/>
      </c>
      <c r="L20" s="4">
        <f>IF(SUMIF(任务清单!A:A,A20,任务清单!I:I)=0,0,(SUMIFS(任务清单!I:I,任务清单!A:A,A20,任务清单!O:O,"已完成")+SUMIFS(任务清单!I:I,任务清单!A:A,A20,任务清单!O:O,"已取消"))/SUMIF(任务清单!A:A,A20,任务清单!I:I))</f>
        <v/>
      </c>
    </row>
    <row r="21">
      <c r="A21" s="5" t="inlineStr">
        <is>
          <t>B-20</t>
        </is>
      </c>
      <c r="B21" s="5" t="inlineStr">
        <is>
          <t>用户系统</t>
        </is>
      </c>
      <c r="C21" s="5" t="inlineStr">
        <is>
          <t>订阅充值</t>
        </is>
      </c>
      <c r="D21" s="5" t="inlineStr">
        <is>
          <t>订阅与充值API</t>
        </is>
      </c>
      <c r="E21" s="5" t="inlineStr">
        <is>
          <t>个人订阅方案管理/点数购买/订单创建/支付回调/企业方案展示/套餐配置</t>
        </is>
      </c>
      <c r="F21" s="5" t="inlineStr"/>
      <c r="G21" s="5" t="inlineStr"/>
      <c r="H21" s="5" t="inlineStr">
        <is>
          <t>未开始</t>
        </is>
      </c>
      <c r="I21" s="5" t="inlineStr"/>
      <c r="J21" s="6">
        <f>SUMIF(任务清单!A:A,A21,任务清单!I:I)</f>
        <v/>
      </c>
      <c r="K21" s="6">
        <f>SUMIF(任务清单!A:A,A21,任务清单!J:J)</f>
        <v/>
      </c>
      <c r="L21" s="7">
        <f>IF(SUMIF(任务清单!A:A,A21,任务清单!I:I)=0,0,(SUMIFS(任务清单!I:I,任务清单!A:A,A21,任务清单!O:O,"已完成")+SUMIFS(任务清单!I:I,任务清单!A:A,A21,任务清单!O:O,"已取消"))/SUMIF(任务清单!A:A,A21,任务清单!I:I))</f>
        <v/>
      </c>
    </row>
    <row r="22">
      <c r="A22" s="2" t="inlineStr">
        <is>
          <t>B-21</t>
        </is>
      </c>
      <c r="B22" s="2" t="inlineStr">
        <is>
          <t>用户系统</t>
        </is>
      </c>
      <c r="C22" s="2" t="inlineStr">
        <is>
          <t>签到奖励</t>
        </is>
      </c>
      <c r="D22" s="2" t="inlineStr">
        <is>
          <t>签到与奖励API</t>
        </is>
      </c>
      <c r="E22" s="2" t="inlineStr">
        <is>
          <t>每日签到/连续签到/签到奖励发放/每日任务/任务完成判定/奖励领取</t>
        </is>
      </c>
      <c r="F22" s="2" t="inlineStr"/>
      <c r="G22" s="2" t="inlineStr"/>
      <c r="H22" s="2" t="inlineStr">
        <is>
          <t>未开始</t>
        </is>
      </c>
      <c r="I22" s="2" t="inlineStr"/>
      <c r="J22" s="3">
        <f>SUMIF(任务清单!A:A,A22,任务清单!I:I)</f>
        <v/>
      </c>
      <c r="K22" s="3">
        <f>SUMIF(任务清单!A:A,A22,任务清单!J:J)</f>
        <v/>
      </c>
      <c r="L22" s="4">
        <f>IF(SUMIF(任务清单!A:A,A22,任务清单!I:I)=0,0,(SUMIFS(任务清单!I:I,任务清单!A:A,A22,任务清单!O:O,"已完成")+SUMIFS(任务清单!I:I,任务清单!A:A,A22,任务清单!O:O,"已取消"))/SUMIF(任务清单!A:A,A22,任务清单!I:I))</f>
        <v/>
      </c>
    </row>
    <row r="23">
      <c r="A23" s="5" t="inlineStr">
        <is>
          <t>B-22</t>
        </is>
      </c>
      <c r="B23" s="5" t="inlineStr">
        <is>
          <t>用户系统</t>
        </is>
      </c>
      <c r="C23" s="5" t="inlineStr">
        <is>
          <t>邀请系统</t>
        </is>
      </c>
      <c r="D23" s="5" t="inlineStr">
        <is>
          <t>邀请中心API</t>
        </is>
      </c>
      <c r="E23" s="5" t="inlineStr">
        <is>
          <t>邀请码生成/邀请链接生成/接受邀请/邀请关系绑定/邀请记录/邀请人数统计/奖励发放</t>
        </is>
      </c>
      <c r="F23" s="5" t="inlineStr"/>
      <c r="G23" s="5" t="inlineStr"/>
      <c r="H23" s="5" t="inlineStr">
        <is>
          <t>未开始</t>
        </is>
      </c>
      <c r="I23" s="5" t="inlineStr"/>
      <c r="J23" s="6">
        <f>SUMIF(任务清单!A:A,A23,任务清单!I:I)</f>
        <v/>
      </c>
      <c r="K23" s="6">
        <f>SUMIF(任务清单!A:A,A23,任务清单!J:J)</f>
        <v/>
      </c>
      <c r="L23" s="7">
        <f>IF(SUMIF(任务清单!A:A,A23,任务清单!I:I)=0,0,(SUMIFS(任务清单!I:I,任务清单!A:A,A23,任务清单!O:O,"已完成")+SUMIFS(任务清单!I:I,任务清单!A:A,A23,任务清单!O:O,"已取消"))/SUMIF(任务清单!A:A,A23,任务清单!I:I))</f>
        <v/>
      </c>
    </row>
    <row r="24">
      <c r="A24" s="2" t="inlineStr">
        <is>
          <t>B-23</t>
        </is>
      </c>
      <c r="B24" s="2" t="inlineStr">
        <is>
          <t>管理空间</t>
        </is>
      </c>
      <c r="C24" s="2" t="inlineStr">
        <is>
          <t>分享服务</t>
        </is>
      </c>
      <c r="D24" s="2" t="inlineStr">
        <is>
          <t>画布分享API</t>
        </is>
      </c>
      <c r="E24" s="2" t="inlineStr">
        <is>
          <t>共享链接生成/共享状态管理(公开/私密/仅链接)/权限控制/上传到创意工坊</t>
        </is>
      </c>
      <c r="F24" s="2" t="inlineStr"/>
      <c r="G24" s="2" t="inlineStr"/>
      <c r="H24" s="2" t="inlineStr">
        <is>
          <t>未开始</t>
        </is>
      </c>
      <c r="I24" s="2" t="inlineStr"/>
      <c r="J24" s="3">
        <f>SUMIF(任务清单!A:A,A24,任务清单!I:I)</f>
        <v/>
      </c>
      <c r="K24" s="3">
        <f>SUMIF(任务清单!A:A,A24,任务清单!J:J)</f>
        <v/>
      </c>
      <c r="L24" s="4">
        <f>IF(SUMIF(任务清单!A:A,A24,任务清单!I:I)=0,0,(SUMIFS(任务清单!I:I,任务清单!A:A,A24,任务清单!O:O,"已完成")+SUMIFS(任务清单!I:I,任务清单!A:A,A24,任务清单!O:O,"已取消"))/SUMIF(任务清单!A:A,A24,任务清单!I:I))</f>
        <v/>
      </c>
    </row>
    <row r="25">
      <c r="A25" s="5" t="inlineStr">
        <is>
          <t>B-24</t>
        </is>
      </c>
      <c r="B25" s="5" t="inlineStr">
        <is>
          <t>管理空间</t>
        </is>
      </c>
      <c r="C25" s="5" t="inlineStr">
        <is>
          <t>创意广场</t>
        </is>
      </c>
      <c r="D25" s="5" t="inlineStr">
        <is>
          <t>创意广场API</t>
        </is>
      </c>
      <c r="E25" s="5" t="inlineStr">
        <is>
          <t>公开画布列表/搜索/分类/画布节点流程数据/一键克隆(复制副本)/删除自己作品/成品预览图/全屏数据</t>
        </is>
      </c>
      <c r="F25" s="5" t="inlineStr"/>
      <c r="G25" s="5" t="inlineStr"/>
      <c r="H25" s="5" t="inlineStr">
        <is>
          <t>未开始</t>
        </is>
      </c>
      <c r="I25" s="5" t="inlineStr"/>
      <c r="J25" s="6">
        <f>SUMIF(任务清单!A:A,A25,任务清单!I:I)</f>
        <v/>
      </c>
      <c r="K25" s="6">
        <f>SUMIF(任务清单!A:A,A25,任务清单!J:J)</f>
        <v/>
      </c>
      <c r="L25" s="7">
        <f>IF(SUMIF(任务清单!A:A,A25,任务清单!I:I)=0,0,(SUMIFS(任务清单!I:I,任务清单!A:A,A25,任务清单!O:O,"已完成")+SUMIFS(任务清单!I:I,任务清单!A:A,A25,任务清单!O:O,"已取消"))/SUMIF(任务清单!A:A,A25,任务清单!I:I))</f>
        <v/>
      </c>
    </row>
    <row r="26">
      <c r="A26" s="2" t="inlineStr">
        <is>
          <t>B-25</t>
        </is>
      </c>
      <c r="B26" s="2" t="inlineStr">
        <is>
          <t>管理空间</t>
        </is>
      </c>
      <c r="C26" s="2" t="inlineStr">
        <is>
          <t>历史服务</t>
        </is>
      </c>
      <c r="D26" s="2" t="inlineStr">
        <is>
          <t>任务历史API</t>
        </is>
      </c>
      <c r="E26" s="2" t="inlineStr">
        <is>
          <t>历史记录存储/多维度查询(提示词/模型/模态/状态/时间范围)/分页/统计聚合/复制提示词</t>
        </is>
      </c>
      <c r="F26" s="2" t="inlineStr"/>
      <c r="G26" s="2" t="inlineStr"/>
      <c r="H26" s="2" t="inlineStr">
        <is>
          <t>未开始</t>
        </is>
      </c>
      <c r="I26" s="2" t="inlineStr"/>
      <c r="J26" s="3">
        <f>SUMIF(任务清单!A:A,A26,任务清单!I:I)</f>
        <v/>
      </c>
      <c r="K26" s="3">
        <f>SUMIF(任务清单!A:A,A26,任务清单!J:J)</f>
        <v/>
      </c>
      <c r="L26" s="4">
        <f>IF(SUMIF(任务清单!A:A,A26,任务清单!I:I)=0,0,(SUMIFS(任务清单!I:I,任务清单!A:A,A26,任务清单!O:O,"已完成")+SUMIFS(任务清单!I:I,任务清单!A:A,A26,任务清单!O:O,"已取消"))/SUMIF(任务清单!A:A,A26,任务清单!I:I))</f>
        <v/>
      </c>
    </row>
    <row r="27">
      <c r="A27" s="5" t="inlineStr">
        <is>
          <t>B-26</t>
        </is>
      </c>
      <c r="B27" s="5" t="inlineStr">
        <is>
          <t>Agent</t>
        </is>
      </c>
      <c r="C27" s="5" t="inlineStr">
        <is>
          <t>对话服务</t>
        </is>
      </c>
      <c r="D27" s="5" t="inlineStr">
        <is>
          <t>Agent对话API</t>
        </is>
      </c>
      <c r="E27" s="5" t="inlineStr">
        <is>
          <t>SSE流式对话/多轮对话上下文管理/画布上下文构建(节点/连线/选中内容)/LLM调用路由/Token统计/模型消耗统计</t>
        </is>
      </c>
      <c r="F27" s="5" t="inlineStr"/>
      <c r="G27" s="5" t="inlineStr"/>
      <c r="H27" s="5" t="inlineStr">
        <is>
          <t>未开始</t>
        </is>
      </c>
      <c r="I27" s="5" t="inlineStr"/>
      <c r="J27" s="6">
        <f>SUMIF(任务清单!A:A,A27,任务清单!I:I)</f>
        <v/>
      </c>
      <c r="K27" s="6">
        <f>SUMIF(任务清单!A:A,A27,任务清单!J:J)</f>
        <v/>
      </c>
      <c r="L27" s="7">
        <f>IF(SUMIF(任务清单!A:A,A27,任务清单!I:I)=0,0,(SUMIFS(任务清单!I:I,任务清单!A:A,A27,任务清单!O:O,"已完成")+SUMIFS(任务清单!I:I,任务清单!A:A,A27,任务清单!O:O,"已取消"))/SUMIF(任务清单!A:A,A27,任务清单!I:I))</f>
        <v/>
      </c>
    </row>
    <row r="28">
      <c r="A28" s="2" t="inlineStr">
        <is>
          <t>B-27</t>
        </is>
      </c>
      <c r="B28" s="2" t="inlineStr">
        <is>
          <t>Agent</t>
        </is>
      </c>
      <c r="C28" s="2" t="inlineStr">
        <is>
          <t>操作服务</t>
        </is>
      </c>
      <c r="D28" s="2" t="inlineStr">
        <is>
          <t>Agent画布操作API</t>
        </is>
      </c>
      <c r="E28" s="2" t="inlineStr">
        <is>
          <t>自然语言解析→画布操作/节点CRUD/连线管理/编组堆叠/重要操作确认/操作审计日志/全流程自动编排(灵感→生成→排版)</t>
        </is>
      </c>
      <c r="F28" s="2" t="inlineStr"/>
      <c r="G28" s="2" t="inlineStr"/>
      <c r="H28" s="2" t="inlineStr">
        <is>
          <t>未开始</t>
        </is>
      </c>
      <c r="I28" s="2" t="inlineStr"/>
      <c r="J28" s="3">
        <f>SUMIF(任务清单!A:A,A28,任务清单!I:I)</f>
        <v/>
      </c>
      <c r="K28" s="3">
        <f>SUMIF(任务清单!A:A,A28,任务清单!J:J)</f>
        <v/>
      </c>
      <c r="L28" s="4">
        <f>IF(SUMIF(任务清单!A:A,A28,任务清单!I:I)=0,0,(SUMIFS(任务清单!I:I,任务清单!A:A,A28,任务清单!O:O,"已完成")+SUMIFS(任务清单!I:I,任务清单!A:A,A28,任务清单!O:O,"已取消"))/SUMIF(任务清单!A:A,A28,任务清单!I:I))</f>
        <v/>
      </c>
    </row>
    <row r="29">
      <c r="A29" s="5" t="inlineStr">
        <is>
          <t>B-28</t>
        </is>
      </c>
      <c r="B29" s="5" t="inlineStr">
        <is>
          <t>Agent</t>
        </is>
      </c>
      <c r="C29" s="5" t="inlineStr">
        <is>
          <t>Skill服务</t>
        </is>
      </c>
      <c r="D29" s="5" t="inlineStr">
        <is>
          <t>Skill系统API</t>
        </is>
      </c>
      <c r="E29" s="5" t="inlineStr">
        <is>
          <t>Skill CRUD/预设Skill管理/搜索/选中添加/从对话生成Skill(.md)/上传Skill文件(格式校验大小内容安全)/Skill版本管理</t>
        </is>
      </c>
      <c r="F29" s="5" t="inlineStr"/>
      <c r="G29" s="5" t="inlineStr"/>
      <c r="H29" s="5" t="inlineStr">
        <is>
          <t>未开始</t>
        </is>
      </c>
      <c r="I29" s="5" t="inlineStr"/>
      <c r="J29" s="6">
        <f>SUMIF(任务清单!A:A,A29,任务清单!I:I)</f>
        <v/>
      </c>
      <c r="K29" s="6">
        <f>SUMIF(任务清单!A:A,A29,任务清单!J:J)</f>
        <v/>
      </c>
      <c r="L29" s="7">
        <f>IF(SUMIF(任务清单!A:A,A29,任务清单!I:I)=0,0,(SUMIFS(任务清单!I:I,任务清单!A:A,A29,任务清单!O:O,"已完成")+SUMIFS(任务清单!I:I,任务清单!A:A,A29,任务清单!O:O,"已取消"))/SUMIF(任务清单!A:A,A29,任务清单!I:I))</f>
        <v/>
      </c>
    </row>
    <row r="30">
      <c r="A30" s="2" t="inlineStr">
        <is>
          <t>B-29</t>
        </is>
      </c>
      <c r="B30" s="2" t="inlineStr">
        <is>
          <t>Agent</t>
        </is>
      </c>
      <c r="C30" s="2" t="inlineStr">
        <is>
          <t>会话服务</t>
        </is>
      </c>
      <c r="D30" s="2" t="inlineStr">
        <is>
          <t>会话管理API</t>
        </is>
      </c>
      <c r="E30" s="2" t="inlineStr">
        <is>
          <t>会话CRUD/当前画布会话查询/其他画布会话查询/保存会话片段(多画布复用)/可复用会话列表</t>
        </is>
      </c>
      <c r="F30" s="2" t="inlineStr"/>
      <c r="G30" s="2" t="inlineStr"/>
      <c r="H30" s="2" t="inlineStr">
        <is>
          <t>未开始</t>
        </is>
      </c>
      <c r="I30" s="2" t="inlineStr"/>
      <c r="J30" s="3">
        <f>SUMIF(任务清单!A:A,A30,任务清单!I:I)</f>
        <v/>
      </c>
      <c r="K30" s="3">
        <f>SUMIF(任务清单!A:A,A30,任务清单!J:J)</f>
        <v/>
      </c>
      <c r="L30" s="4">
        <f>IF(SUMIF(任务清单!A:A,A30,任务清单!I:I)=0,0,(SUMIFS(任务清单!I:I,任务清单!A:A,A30,任务清单!O:O,"已完成")+SUMIFS(任务清单!I:I,任务清单!A:A,A30,任务清单!O:O,"已取消"))/SUMIF(任务清单!A:A,A30,任务清单!I:I))</f>
        <v/>
      </c>
    </row>
    <row r="31">
      <c r="A31" s="5" t="inlineStr">
        <is>
          <t>B-30</t>
        </is>
      </c>
      <c r="B31" s="5" t="inlineStr">
        <is>
          <t>Agent</t>
        </is>
      </c>
      <c r="C31" s="5" t="inlineStr">
        <is>
          <t>记忆服务</t>
        </is>
      </c>
      <c r="D31" s="5" t="inlineStr">
        <is>
          <t>记忆系统API</t>
        </is>
      </c>
      <c r="E31" s="5" t="inlineStr">
        <is>
          <t>短期记忆(当前session上下文)/长期记忆存储/用户偏好记录(风格/方向/习惯)/查看删除长期记忆/记忆嵌入与检索</t>
        </is>
      </c>
      <c r="F31" s="5" t="inlineStr"/>
      <c r="G31" s="5" t="inlineStr"/>
      <c r="H31" s="5" t="inlineStr">
        <is>
          <t>未开始</t>
        </is>
      </c>
      <c r="I31" s="5" t="inlineStr"/>
      <c r="J31" s="6">
        <f>SUMIF(任务清单!A:A,A31,任务清单!I:I)</f>
        <v/>
      </c>
      <c r="K31" s="6">
        <f>SUMIF(任务清单!A:A,A31,任务清单!J:J)</f>
        <v/>
      </c>
      <c r="L31" s="7">
        <f>IF(SUMIF(任务清单!A:A,A31,任务清单!I:I)=0,0,(SUMIFS(任务清单!I:I,任务清单!A:A,A31,任务清单!O:O,"已完成")+SUMIFS(任务清单!I:I,任务清单!A:A,A31,任务清单!O:O,"已取消"))/SUMIF(任务清单!A:A,A31,任务清单!I:I))</f>
        <v/>
      </c>
    </row>
    <row r="32">
      <c r="A32" s="2" t="inlineStr">
        <is>
          <t>B-31</t>
        </is>
      </c>
      <c r="B32" s="2" t="inlineStr">
        <is>
          <t>企业中心</t>
        </is>
      </c>
      <c r="C32" s="2" t="inlineStr">
        <is>
          <t>企业管理</t>
        </is>
      </c>
      <c r="D32" s="2" t="inlineStr">
        <is>
          <t>企业核心API</t>
        </is>
      </c>
      <c r="E32" s="2" t="inlineStr">
        <is>
          <t>企业创建/企业信息(名称/总点数/可分配点数)/企业码/企业邀请链接生成/用户通过链接加入/权限校验(所有者/管理员/成员)</t>
        </is>
      </c>
      <c r="F32" s="2" t="inlineStr"/>
      <c r="G32" s="2" t="inlineStr"/>
      <c r="H32" s="2" t="inlineStr">
        <is>
          <t>未开始</t>
        </is>
      </c>
      <c r="I32" s="2" t="inlineStr"/>
      <c r="J32" s="3">
        <f>SUMIF(任务清单!A:A,A32,任务清单!I:I)</f>
        <v/>
      </c>
      <c r="K32" s="3">
        <f>SUMIF(任务清单!A:A,A32,任务清单!J:J)</f>
        <v/>
      </c>
      <c r="L32" s="4">
        <f>IF(SUMIF(任务清单!A:A,A32,任务清单!I:I)=0,0,(SUMIFS(任务清单!I:I,任务清单!A:A,A32,任务清单!O:O,"已完成")+SUMIFS(任务清单!I:I,任务清单!A:A,A32,任务清单!O:O,"已取消"))/SUMIF(任务清单!A:A,A32,任务清单!I:I))</f>
        <v/>
      </c>
    </row>
    <row r="33">
      <c r="A33" s="5" t="inlineStr">
        <is>
          <t>B-32</t>
        </is>
      </c>
      <c r="B33" s="5" t="inlineStr">
        <is>
          <t>企业中心</t>
        </is>
      </c>
      <c r="C33" s="5" t="inlineStr">
        <is>
          <t>成员管理</t>
        </is>
      </c>
      <c r="D33" s="5" t="inlineStr">
        <is>
          <t>成员管理API</t>
        </is>
      </c>
      <c r="E33" s="5" t="inlineStr">
        <is>
          <t>成员列表/成员角色管理/点数分配(分配→双方余额更新)/点数回收(回收→双方余额更新)/移出成员/分配回收记录</t>
        </is>
      </c>
      <c r="F33" s="5" t="inlineStr"/>
      <c r="G33" s="5" t="inlineStr"/>
      <c r="H33" s="5" t="inlineStr">
        <is>
          <t>未开始</t>
        </is>
      </c>
      <c r="I33" s="5" t="inlineStr"/>
      <c r="J33" s="6">
        <f>SUMIF(任务清单!A:A,A33,任务清单!I:I)</f>
        <v/>
      </c>
      <c r="K33" s="6">
        <f>SUMIF(任务清单!A:A,A33,任务清单!J:J)</f>
        <v/>
      </c>
      <c r="L33" s="7">
        <f>IF(SUMIF(任务清单!A:A,A33,任务清单!I:I)=0,0,(SUMIFS(任务清单!I:I,任务清单!A:A,A33,任务清单!O:O,"已完成")+SUMIFS(任务清单!I:I,任务清单!A:A,A33,任务清单!O:O,"已取消"))/SUMIF(任务清单!A:A,A33,任务清单!I:I))</f>
        <v/>
      </c>
    </row>
    <row r="34">
      <c r="A34" s="2" t="inlineStr">
        <is>
          <t>B-33</t>
        </is>
      </c>
      <c r="B34" s="2" t="inlineStr">
        <is>
          <t>企业中心</t>
        </is>
      </c>
      <c r="C34" s="2" t="inlineStr">
        <is>
          <t>素材库</t>
        </is>
      </c>
      <c r="D34" s="2" t="inlineStr">
        <is>
          <t>企业素材库API</t>
        </is>
      </c>
      <c r="E34" s="2" t="inlineStr">
        <is>
          <t>企业素材库CRUD/团队共享/权限控制/素材转移/画布关联/分配记录</t>
        </is>
      </c>
      <c r="F34" s="2" t="inlineStr"/>
      <c r="G34" s="2" t="inlineStr"/>
      <c r="H34" s="2" t="inlineStr">
        <is>
          <t>未开始</t>
        </is>
      </c>
      <c r="I34" s="2" t="inlineStr"/>
      <c r="J34" s="3">
        <f>SUMIF(任务清单!A:A,A34,任务清单!I:I)</f>
        <v/>
      </c>
      <c r="K34" s="3">
        <f>SUMIF(任务清单!A:A,A34,任务清单!J:J)</f>
        <v/>
      </c>
      <c r="L34" s="4">
        <f>IF(SUMIF(任务清单!A:A,A34,任务清单!I:I)=0,0,(SUMIFS(任务清单!I:I,任务清单!A:A,A34,任务清单!O:O,"已完成")+SUMIFS(任务清单!I:I,任务清单!A:A,A34,任务清单!O:O,"已取消"))/SUMIF(任务清单!A:A,A34,任务清单!I:I))</f>
        <v/>
      </c>
    </row>
    <row r="35">
      <c r="A35" s="5" t="inlineStr">
        <is>
          <t>B-34</t>
        </is>
      </c>
      <c r="B35" s="5" t="inlineStr">
        <is>
          <t>企业中心</t>
        </is>
      </c>
      <c r="C35" s="5" t="inlineStr">
        <is>
          <t>分配记录</t>
        </is>
      </c>
      <c r="D35" s="5" t="inlineStr">
        <is>
          <t>分配记录API</t>
        </is>
      </c>
      <c r="E35" s="5" t="inlineStr">
        <is>
          <t>分配记录查询(时间/类型/点数/余额)/搜索/CSV导出/分页</t>
        </is>
      </c>
      <c r="F35" s="5" t="inlineStr"/>
      <c r="G35" s="5" t="inlineStr"/>
      <c r="H35" s="5" t="inlineStr">
        <is>
          <t>未开始</t>
        </is>
      </c>
      <c r="I35" s="5" t="inlineStr"/>
      <c r="J35" s="6">
        <f>SUMIF(任务清单!A:A,A35,任务清单!I:I)</f>
        <v/>
      </c>
      <c r="K35" s="6">
        <f>SUMIF(任务清单!A:A,A35,任务清单!J:J)</f>
        <v/>
      </c>
      <c r="L35" s="7">
        <f>IF(SUMIF(任务清单!A:A,A35,任务清单!I:I)=0,0,(SUMIFS(任务清单!I:I,任务清单!A:A,A35,任务清单!O:O,"已完成")+SUMIFS(任务清单!I:I,任务清单!A:A,A35,任务清单!O:O,"已取消"))/SUMIF(任务清单!A:A,A35,任务清单!I:I))</f>
        <v/>
      </c>
    </row>
    <row r="36">
      <c r="A36" s="2" t="inlineStr">
        <is>
          <t>B-35</t>
        </is>
      </c>
      <c r="B36" s="2" t="inlineStr">
        <is>
          <t>企业中心</t>
        </is>
      </c>
      <c r="C36" s="2" t="inlineStr">
        <is>
          <t>充值服务</t>
        </is>
      </c>
      <c r="D36" s="2" t="inlineStr">
        <is>
          <t>企业充值API</t>
        </is>
      </c>
      <c r="E36" s="2" t="inlineStr">
        <is>
          <t>企业点数充值/订单创建/支付回调/充值记录</t>
        </is>
      </c>
      <c r="F36" s="2" t="inlineStr"/>
      <c r="G36" s="2" t="inlineStr"/>
      <c r="H36" s="2" t="inlineStr">
        <is>
          <t>未开始</t>
        </is>
      </c>
      <c r="I36" s="2" t="inlineStr"/>
      <c r="J36" s="3">
        <f>SUMIF(任务清单!A:A,A36,任务清单!I:I)</f>
        <v/>
      </c>
      <c r="K36" s="3">
        <f>SUMIF(任务清单!A:A,A36,任务清单!J:J)</f>
        <v/>
      </c>
      <c r="L36" s="4">
        <f>IF(SUMIF(任务清单!A:A,A36,任务清单!I:I)=0,0,(SUMIFS(任务清单!I:I,任务清单!A:A,A36,任务清单!O:O,"已完成")+SUMIFS(任务清单!I:I,任务清单!A:A,A36,任务清单!O:O,"已取消"))/SUMIF(任务清单!A:A,A36,任务清单!I:I))</f>
        <v/>
      </c>
    </row>
    <row r="37">
      <c r="A37" s="5" t="inlineStr">
        <is>
          <t>B-36</t>
        </is>
      </c>
      <c r="B37" s="5" t="inlineStr">
        <is>
          <t>企业中心</t>
        </is>
      </c>
      <c r="C37" s="5" t="inlineStr">
        <is>
          <t>用量统计</t>
        </is>
      </c>
      <c r="D37" s="5" t="inlineStr">
        <is>
          <t>用量统计API</t>
        </is>
      </c>
      <c r="E37" s="5" t="inlineStr">
        <is>
          <t>企业用量聚合/个人用量聚合/时间范围筛选/点数消耗可视化数据/统计明细</t>
        </is>
      </c>
      <c r="F37" s="5" t="inlineStr"/>
      <c r="G37" s="5" t="inlineStr"/>
      <c r="H37" s="5" t="inlineStr">
        <is>
          <t>未开始</t>
        </is>
      </c>
      <c r="I37" s="5" t="inlineStr"/>
      <c r="J37" s="6">
        <f>SUMIF(任务清单!A:A,A37,任务清单!I:I)</f>
        <v/>
      </c>
      <c r="K37" s="6">
        <f>SUMIF(任务清单!A:A,A37,任务清单!J:J)</f>
        <v/>
      </c>
      <c r="L37" s="7">
        <f>IF(SUMIF(任务清单!A:A,A37,任务清单!I:I)=0,0,(SUMIFS(任务清单!I:I,任务清单!A:A,A37,任务清单!O:O,"已完成")+SUMIFS(任务清单!I:I,任务清单!A:A,A37,任务清单!O:O,"已取消"))/SUMIF(任务清单!A:A,A37,任务清单!I:I))</f>
        <v/>
      </c>
    </row>
    <row r="38">
      <c r="A38" s="2" t="inlineStr">
        <is>
          <t>B-37</t>
        </is>
      </c>
      <c r="B38" s="2" t="inlineStr">
        <is>
          <t>企业中心</t>
        </is>
      </c>
      <c r="C38" s="2" t="inlineStr">
        <is>
          <t>账户设置</t>
        </is>
      </c>
      <c r="D38" s="2" t="inlineStr">
        <is>
          <t>账户设置API</t>
        </is>
      </c>
      <c r="E38" s="2" t="inlineStr">
        <is>
          <t>修改企业名称/解散企业(二次确认/权限校验)/企业状态管理</t>
        </is>
      </c>
      <c r="F38" s="2" t="inlineStr"/>
      <c r="G38" s="2" t="inlineStr"/>
      <c r="H38" s="2" t="inlineStr">
        <is>
          <t>未开始</t>
        </is>
      </c>
      <c r="I38" s="2" t="inlineStr"/>
      <c r="J38" s="3">
        <f>SUMIF(任务清单!A:A,A38,任务清单!I:I)</f>
        <v/>
      </c>
      <c r="K38" s="3">
        <f>SUMIF(任务清单!A:A,A38,任务清单!J:J)</f>
        <v/>
      </c>
      <c r="L38" s="4">
        <f>IF(SUMIF(任务清单!A:A,A38,任务清单!I:I)=0,0,(SUMIFS(任务清单!I:I,任务清单!A:A,A38,任务清单!O:O,"已完成")+SUMIFS(任务清单!I:I,任务清单!A:A,A38,任务清单!O:O,"已取消"))/SUMIF(任务清单!A:A,A38,任务清单!I:I))</f>
        <v/>
      </c>
    </row>
    <row r="39">
      <c r="A39" s="5" t="inlineStr">
        <is>
          <t>B-38</t>
        </is>
      </c>
      <c r="B39" s="5" t="inlineStr">
        <is>
          <t>后台管理</t>
        </is>
      </c>
      <c r="C39" s="5" t="inlineStr">
        <is>
          <t>用户管理</t>
        </is>
      </c>
      <c r="D39" s="5" t="inlineStr">
        <is>
          <t>后台用户管理API</t>
        </is>
      </c>
      <c r="E39" s="5" t="inlineStr">
        <is>
          <t>用户列表(搜索ID/昵称/邮箱/手机)/筛选(注册时间/状态/会员)/分页/用户详情/启用禁用用户/封禁解封/注销(软删除)</t>
        </is>
      </c>
      <c r="F39" s="5" t="inlineStr"/>
      <c r="G39" s="5" t="inlineStr"/>
      <c r="H39" s="5" t="inlineStr">
        <is>
          <t>未开始</t>
        </is>
      </c>
      <c r="I39" s="5" t="inlineStr"/>
      <c r="J39" s="6">
        <f>SUMIF(任务清单!A:A,A39,任务清单!I:I)</f>
        <v/>
      </c>
      <c r="K39" s="6">
        <f>SUMIF(任务清单!A:A,A39,任务清单!J:J)</f>
        <v/>
      </c>
      <c r="L39" s="7">
        <f>IF(SUMIF(任务清单!A:A,A39,任务清单!I:I)=0,0,(SUMIFS(任务清单!I:I,任务清单!A:A,A39,任务清单!O:O,"已完成")+SUMIFS(任务清单!I:I,任务清单!A:A,A39,任务清单!O:O,"已取消"))/SUMIF(任务清单!A:A,A39,任务清单!I:I))</f>
        <v/>
      </c>
    </row>
    <row r="40">
      <c r="A40" s="2" t="inlineStr">
        <is>
          <t>B-39</t>
        </is>
      </c>
      <c r="B40" s="2" t="inlineStr">
        <is>
          <t>后台管理</t>
        </is>
      </c>
      <c r="C40" s="2" t="inlineStr">
        <is>
          <t>会员管理</t>
        </is>
      </c>
      <c r="D40" s="2" t="inlineStr">
        <is>
          <t>后台会员管理API</t>
        </is>
      </c>
      <c r="E40" s="2" t="inlineStr">
        <is>
          <t>会员等级配置/权益定义/定价设置/升级续费规则</t>
        </is>
      </c>
      <c r="F40" s="2" t="inlineStr"/>
      <c r="G40" s="2" t="inlineStr"/>
      <c r="H40" s="2" t="inlineStr">
        <is>
          <t>未开始</t>
        </is>
      </c>
      <c r="I40" s="2" t="inlineStr"/>
      <c r="J40" s="3">
        <f>SUMIF(任务清单!A:A,A40,任务清单!I:I)</f>
        <v/>
      </c>
      <c r="K40" s="3">
        <f>SUMIF(任务清单!A:A,A40,任务清单!J:J)</f>
        <v/>
      </c>
      <c r="L40" s="4">
        <f>IF(SUMIF(任务清单!A:A,A40,任务清单!I:I)=0,0,(SUMIFS(任务清单!I:I,任务清单!A:A,A40,任务清单!O:O,"已完成")+SUMIFS(任务清单!I:I,任务清单!A:A,A40,任务清单!O:O,"已取消"))/SUMIF(任务清单!A:A,A40,任务清单!I:I))</f>
        <v/>
      </c>
    </row>
    <row r="41">
      <c r="A41" s="5" t="inlineStr">
        <is>
          <t>B-40</t>
        </is>
      </c>
      <c r="B41" s="5" t="inlineStr">
        <is>
          <t>后台管理</t>
        </is>
      </c>
      <c r="C41" s="5" t="inlineStr">
        <is>
          <t>内容审核</t>
        </is>
      </c>
      <c r="D41" s="5" t="inlineStr">
        <is>
          <t>后台内容审核API</t>
        </is>
      </c>
      <c r="E41" s="5" t="inlineStr">
        <is>
          <t>公开画布审核(通过/驳回)/违规内容下架/批量审核操作/审核日志</t>
        </is>
      </c>
      <c r="F41" s="5" t="inlineStr"/>
      <c r="G41" s="5" t="inlineStr"/>
      <c r="H41" s="5" t="inlineStr">
        <is>
          <t>未开始</t>
        </is>
      </c>
      <c r="I41" s="5" t="inlineStr"/>
      <c r="J41" s="6">
        <f>SUMIF(任务清单!A:A,A41,任务清单!I:I)</f>
        <v/>
      </c>
      <c r="K41" s="6">
        <f>SUMIF(任务清单!A:A,A41,任务清单!J:J)</f>
        <v/>
      </c>
      <c r="L41" s="7">
        <f>IF(SUMIF(任务清单!A:A,A41,任务清单!I:I)=0,0,(SUMIFS(任务清单!I:I,任务清单!A:A,A41,任务清单!O:O,"已完成")+SUMIFS(任务清单!I:I,任务清单!A:A,A41,任务清单!O:O,"已取消"))/SUMIF(任务清单!A:A,A41,任务清单!I:I))</f>
        <v/>
      </c>
    </row>
    <row r="42">
      <c r="A42" s="2" t="inlineStr">
        <is>
          <t>B-41</t>
        </is>
      </c>
      <c r="B42" s="2" t="inlineStr">
        <is>
          <t>后台管理</t>
        </is>
      </c>
      <c r="C42" s="2" t="inlineStr">
        <is>
          <t>模型管理</t>
        </is>
      </c>
      <c r="D42" s="2" t="inlineStr">
        <is>
          <t>后台模型管理API</t>
        </is>
      </c>
      <c r="E42" s="2" t="inlineStr">
        <is>
          <t>模型列表/新增(名称/类型/API端点)/编辑/启用禁用配置/默认参数配置</t>
        </is>
      </c>
      <c r="F42" s="2" t="inlineStr"/>
      <c r="G42" s="2" t="inlineStr"/>
      <c r="H42" s="2" t="inlineStr">
        <is>
          <t>未开始</t>
        </is>
      </c>
      <c r="I42" s="2" t="inlineStr"/>
      <c r="J42" s="3">
        <f>SUMIF(任务清单!A:A,A42,任务清单!I:I)</f>
        <v/>
      </c>
      <c r="K42" s="3">
        <f>SUMIF(任务清单!A:A,A42,任务清单!J:J)</f>
        <v/>
      </c>
      <c r="L42" s="4">
        <f>IF(SUMIF(任务清单!A:A,A42,任务清单!I:I)=0,0,(SUMIFS(任务清单!I:I,任务清单!A:A,A42,任务清单!O:O,"已完成")+SUMIFS(任务清单!I:I,任务清单!A:A,A42,任务清单!O:O,"已取消"))/SUMIF(任务清单!A:A,A42,任务清单!I:I))</f>
        <v/>
      </c>
    </row>
    <row r="43">
      <c r="A43" s="5" t="inlineStr">
        <is>
          <t>B-42</t>
        </is>
      </c>
      <c r="B43" s="5" t="inlineStr">
        <is>
          <t>后台管理</t>
        </is>
      </c>
      <c r="C43" s="5" t="inlineStr">
        <is>
          <t>API管理</t>
        </is>
      </c>
      <c r="D43" s="5" t="inlineStr">
        <is>
          <t>后台API管理</t>
        </is>
      </c>
      <c r="E43" s="5" t="inlineStr">
        <is>
          <t>第三方API Key管理/调用限流配置/API健康监控/调用日志</t>
        </is>
      </c>
      <c r="F43" s="5" t="inlineStr"/>
      <c r="G43" s="5" t="inlineStr"/>
      <c r="H43" s="5" t="inlineStr">
        <is>
          <t>未开始</t>
        </is>
      </c>
      <c r="I43" s="5" t="inlineStr"/>
      <c r="J43" s="6">
        <f>SUMIF(任务清单!A:A,A43,任务清单!I:I)</f>
        <v/>
      </c>
      <c r="K43" s="6">
        <f>SUMIF(任务清单!A:A,A43,任务清单!J:J)</f>
        <v/>
      </c>
      <c r="L43" s="7">
        <f>IF(SUMIF(任务清单!A:A,A43,任务清单!I:I)=0,0,(SUMIFS(任务清单!I:I,任务清单!A:A,A43,任务清单!O:O,"已完成")+SUMIFS(任务清单!I:I,任务清单!A:A,A43,任务清单!O:O,"已取消"))/SUMIF(任务清单!A:A,A43,任务清单!I:I))</f>
        <v/>
      </c>
    </row>
    <row r="44">
      <c r="A44" s="2" t="inlineStr">
        <is>
          <t>B-43</t>
        </is>
      </c>
      <c r="B44" s="2" t="inlineStr">
        <is>
          <t>后台管理</t>
        </is>
      </c>
      <c r="C44" s="2" t="inlineStr">
        <is>
          <t>模型定价</t>
        </is>
      </c>
      <c r="D44" s="2" t="inlineStr">
        <is>
          <t>后台定价管理API</t>
        </is>
      </c>
      <c r="E44" s="2" t="inlineStr">
        <is>
          <t>按分辨率参数差异化定价/单价设置/促销折扣配置</t>
        </is>
      </c>
      <c r="F44" s="2" t="inlineStr"/>
      <c r="G44" s="2" t="inlineStr"/>
      <c r="H44" s="2" t="inlineStr">
        <is>
          <t>未开始</t>
        </is>
      </c>
      <c r="I44" s="2" t="inlineStr"/>
      <c r="J44" s="3">
        <f>SUMIF(任务清单!A:A,A44,任务清单!I:I)</f>
        <v/>
      </c>
      <c r="K44" s="3">
        <f>SUMIF(任务清单!A:A,A44,任务清单!J:J)</f>
        <v/>
      </c>
      <c r="L44" s="4">
        <f>IF(SUMIF(任务清单!A:A,A44,任务清单!I:I)=0,0,(SUMIFS(任务清单!I:I,任务清单!A:A,A44,任务清单!O:O,"已完成")+SUMIFS(任务清单!I:I,任务清单!A:A,A44,任务清单!O:O,"已取消"))/SUMIF(任务清单!A:A,A44,任务清单!I:I))</f>
        <v/>
      </c>
    </row>
    <row r="45">
      <c r="A45" s="5" t="inlineStr">
        <is>
          <t>B-44</t>
        </is>
      </c>
      <c r="B45" s="5" t="inlineStr">
        <is>
          <t>后台管理</t>
        </is>
      </c>
      <c r="C45" s="5" t="inlineStr">
        <is>
          <t>充值管理</t>
        </is>
      </c>
      <c r="D45" s="5" t="inlineStr">
        <is>
          <t>后台充值管理API</t>
        </is>
      </c>
      <c r="E45" s="5" t="inlineStr">
        <is>
          <t>充值套餐配置(名称/点数/价格/有效期)/套餐上下架/套餐优先级/充值记录</t>
        </is>
      </c>
      <c r="F45" s="5" t="inlineStr"/>
      <c r="G45" s="5" t="inlineStr"/>
      <c r="H45" s="5" t="inlineStr">
        <is>
          <t>未开始</t>
        </is>
      </c>
      <c r="I45" s="5" t="inlineStr"/>
      <c r="J45" s="6">
        <f>SUMIF(任务清单!A:A,A45,任务清单!I:I)</f>
        <v/>
      </c>
      <c r="K45" s="6">
        <f>SUMIF(任务清单!A:A,A45,任务清单!J:J)</f>
        <v/>
      </c>
      <c r="L45" s="7">
        <f>IF(SUMIF(任务清单!A:A,A45,任务清单!I:I)=0,0,(SUMIFS(任务清单!I:I,任务清单!A:A,A45,任务清单!O:O,"已完成")+SUMIFS(任务清单!I:I,任务清单!A:A,A45,任务清单!O:O,"已取消"))/SUMIF(任务清单!A:A,A45,任务清单!I:I))</f>
        <v/>
      </c>
    </row>
    <row r="46">
      <c r="A46" s="2" t="inlineStr">
        <is>
          <t>B-45</t>
        </is>
      </c>
      <c r="B46" s="2" t="inlineStr">
        <is>
          <t>后台管理</t>
        </is>
      </c>
      <c r="C46" s="2" t="inlineStr">
        <is>
          <t>交易管理</t>
        </is>
      </c>
      <c r="D46" s="2" t="inlineStr">
        <is>
          <t>后台交易管理API</t>
        </is>
      </c>
      <c r="E46" s="2" t="inlineStr">
        <is>
          <t>交易记录列表(时间/用户/金额/点数/渠道/状态)/交易详情/交易统计报表/退款处理</t>
        </is>
      </c>
      <c r="F46" s="2" t="inlineStr"/>
      <c r="G46" s="2" t="inlineStr"/>
      <c r="H46" s="2" t="inlineStr">
        <is>
          <t>未开始</t>
        </is>
      </c>
      <c r="I46" s="2" t="inlineStr"/>
      <c r="J46" s="3">
        <f>SUMIF(任务清单!A:A,A46,任务清单!I:I)</f>
        <v/>
      </c>
      <c r="K46" s="3">
        <f>SUMIF(任务清单!A:A,A46,任务清单!J:J)</f>
        <v/>
      </c>
      <c r="L46" s="4">
        <f>IF(SUMIF(任务清单!A:A,A46,任务清单!I:I)=0,0,(SUMIFS(任务清单!I:I,任务清单!A:A,A46,任务清单!O:O,"已完成")+SUMIFS(任务清单!I:I,任务清单!A:A,A46,任务清单!O:O,"已取消"))/SUMIF(任务清单!A:A,A46,任务清单!I:I))</f>
        <v/>
      </c>
    </row>
    <row r="47">
      <c r="A47" s="5" t="inlineStr">
        <is>
          <t>B-46</t>
        </is>
      </c>
      <c r="B47" s="5" t="inlineStr">
        <is>
          <t>通用</t>
        </is>
      </c>
      <c r="C47" s="5" t="inlineStr">
        <is>
          <t>公告系统</t>
        </is>
      </c>
      <c r="D47" s="5" t="inlineStr">
        <is>
          <t>公告管理API</t>
        </is>
      </c>
      <c r="E47" s="5" t="inlineStr">
        <is>
          <t>公告CRUD/公告列表/公告详情/推送</t>
        </is>
      </c>
      <c r="F47" s="5" t="inlineStr"/>
      <c r="G47" s="5" t="inlineStr"/>
      <c r="H47" s="5" t="inlineStr">
        <is>
          <t>未开始</t>
        </is>
      </c>
      <c r="I47" s="5" t="inlineStr"/>
      <c r="J47" s="6">
        <f>SUMIF(任务清单!A:A,A47,任务清单!I:I)</f>
        <v/>
      </c>
      <c r="K47" s="6">
        <f>SUMIF(任务清单!A:A,A47,任务清单!J:J)</f>
        <v/>
      </c>
      <c r="L47" s="7">
        <f>IF(SUMIF(任务清单!A:A,A47,任务清单!I:I)=0,0,(SUMIFS(任务清单!I:I,任务清单!A:A,A47,任务清单!O:O,"已完成")+SUMIFS(任务清单!I:I,任务清单!A:A,A47,任务清单!O:O,"已取消"))/SUMIF(任务清单!A:A,A47,任务清单!I:I))</f>
        <v/>
      </c>
    </row>
    <row r="48">
      <c r="A48" s="2" t="inlineStr">
        <is>
          <t>B-47</t>
        </is>
      </c>
      <c r="B48" s="2" t="inlineStr">
        <is>
          <t>通用</t>
        </is>
      </c>
      <c r="C48" s="2" t="inlineStr">
        <is>
          <t>审计日志</t>
        </is>
      </c>
      <c r="D48" s="2" t="inlineStr">
        <is>
          <t>审计日志API</t>
        </is>
      </c>
      <c r="E48" s="2" t="inlineStr">
        <is>
          <t>敏感操作日志记录(操作人/时间/对象/变更前后值/IP)/日志查询/日志导出</t>
        </is>
      </c>
      <c r="F48" s="2" t="inlineStr"/>
      <c r="G48" s="2" t="inlineStr"/>
      <c r="H48" s="2" t="inlineStr">
        <is>
          <t>未开始</t>
        </is>
      </c>
      <c r="I48" s="2" t="inlineStr"/>
      <c r="J48" s="3">
        <f>SUMIF(任务清单!A:A,A48,任务清单!I:I)</f>
        <v/>
      </c>
      <c r="K48" s="3">
        <f>SUMIF(任务清单!A:A,A48,任务清单!J:J)</f>
        <v/>
      </c>
      <c r="L48" s="4">
        <f>IF(SUMIF(任务清单!A:A,A48,任务清单!I:I)=0,0,(SUMIFS(任务清单!I:I,任务清单!A:A,A48,任务清单!O:O,"已完成")+SUMIFS(任务清单!I:I,任务清单!A:A,A48,任务清单!O:O,"已取消"))/SUMIF(任务清单!A:A,A48,任务清单!I:I))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52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4" customWidth="1" min="13" max="13"/>
    <col width="22" customWidth="1" min="14" max="14"/>
    <col width="10" customWidth="1" min="15" max="15"/>
    <col width="22" customWidth="1" min="16" max="16"/>
    <col width="18" customWidth="1" min="17" max="17"/>
  </cols>
  <sheetData>
    <row r="1">
      <c r="A1" s="1" t="inlineStr">
        <is>
          <t>功能编号</t>
        </is>
      </c>
      <c r="B1" s="1" t="inlineStr">
        <is>
          <t>任务编号</t>
        </is>
      </c>
      <c r="C1" s="1" t="inlineStr">
        <is>
          <t>阶段</t>
        </is>
      </c>
      <c r="D1" s="1" t="inlineStr">
        <is>
          <t>任务名称</t>
        </is>
      </c>
      <c r="E1" s="1" t="inlineStr">
        <is>
          <t>任务目标</t>
        </is>
      </c>
      <c r="F1" s="1" t="inlineStr">
        <is>
          <t>负责人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预估(人天)</t>
        </is>
      </c>
      <c r="J1" s="1" t="inlineStr">
        <is>
          <t>实际(人天)</t>
        </is>
      </c>
      <c r="K1" s="1" t="inlineStr">
        <is>
          <t>优先级</t>
        </is>
      </c>
      <c r="L1" s="1" t="inlineStr">
        <is>
          <t>复杂度</t>
        </is>
      </c>
      <c r="M1" s="1" t="inlineStr">
        <is>
          <t>前置依赖</t>
        </is>
      </c>
      <c r="N1" s="1" t="inlineStr">
        <is>
          <t>风险项</t>
        </is>
      </c>
      <c r="O1" s="1" t="inlineStr">
        <is>
          <t>状态</t>
        </is>
      </c>
      <c r="P1" s="1" t="inlineStr">
        <is>
          <t>交付物</t>
        </is>
      </c>
      <c r="Q1" s="1" t="inlineStr">
        <is>
          <t>备注</t>
        </is>
      </c>
    </row>
    <row r="2">
      <c r="A2" s="2" t="inlineStr">
        <is>
          <t>F-01</t>
        </is>
      </c>
      <c r="B2" s="2" t="inlineStr">
        <is>
          <t>F-01-01</t>
        </is>
      </c>
      <c r="C2" s="2" t="inlineStr">
        <is>
          <t>画布管理页</t>
        </is>
      </c>
      <c r="D2" s="2" t="inlineStr">
        <is>
          <t>画布列表页</t>
        </is>
      </c>
      <c r="E2" s="2" t="inlineStr">
        <is>
          <t>画布列表展示(缩略图/名称/更新时间)/新建画布入口/空状态</t>
        </is>
      </c>
      <c r="F2" s="2" t="inlineStr"/>
      <c r="G2" s="2" t="inlineStr"/>
      <c r="H2" s="2" t="inlineStr"/>
      <c r="I2" s="3" t="n">
        <v>0.206</v>
      </c>
      <c r="J2" s="3" t="n">
        <v>0</v>
      </c>
      <c r="K2" s="2" t="inlineStr">
        <is>
          <t>P0</t>
        </is>
      </c>
      <c r="L2" s="2" t="inlineStr">
        <is>
          <t>中</t>
        </is>
      </c>
      <c r="M2" s="2" t="inlineStr"/>
      <c r="N2" s="2" t="inlineStr"/>
      <c r="O2" s="2" t="inlineStr">
        <is>
          <t>未开始</t>
        </is>
      </c>
      <c r="P2" s="2" t="inlineStr">
        <is>
          <t>画布列表页</t>
        </is>
      </c>
      <c r="Q2" s="2" t="inlineStr"/>
    </row>
    <row r="3">
      <c r="A3" s="5" t="inlineStr">
        <is>
          <t>F-01</t>
        </is>
      </c>
      <c r="B3" s="5" t="inlineStr">
        <is>
          <t>F-01-02</t>
        </is>
      </c>
      <c r="C3" s="5" t="inlineStr">
        <is>
          <t>画布管理页</t>
        </is>
      </c>
      <c r="D3" s="5" t="inlineStr">
        <is>
          <t>画布CRUD操作</t>
        </is>
      </c>
      <c r="E3" s="5" t="inlineStr">
        <is>
          <t>编辑画布名称(行内编辑)/删除画布(二次确认弹窗)/导入画布(上传JSON文件)/下载画布(导出JSON)</t>
        </is>
      </c>
      <c r="F3" s="5" t="inlineStr"/>
      <c r="G3" s="5" t="inlineStr"/>
      <c r="H3" s="5" t="inlineStr"/>
      <c r="I3" s="6" t="n">
        <v>0.206</v>
      </c>
      <c r="J3" s="6" t="n">
        <v>0</v>
      </c>
      <c r="K3" s="5" t="inlineStr">
        <is>
          <t>P0</t>
        </is>
      </c>
      <c r="L3" s="5" t="inlineStr">
        <is>
          <t>中</t>
        </is>
      </c>
      <c r="M3" s="5" t="inlineStr">
        <is>
          <t>F-01-01</t>
        </is>
      </c>
      <c r="N3" s="5" t="inlineStr"/>
      <c r="O3" s="5" t="inlineStr">
        <is>
          <t>未开始</t>
        </is>
      </c>
      <c r="P3" s="5" t="inlineStr"/>
      <c r="Q3" s="5" t="inlineStr"/>
    </row>
    <row r="4">
      <c r="A4" s="2" t="inlineStr">
        <is>
          <t>F-02</t>
        </is>
      </c>
      <c r="B4" s="2" t="inlineStr">
        <is>
          <t>F-02-01</t>
        </is>
      </c>
      <c r="C4" s="2" t="inlineStr">
        <is>
          <t>无限画布</t>
        </is>
      </c>
      <c r="D4" s="2" t="inlineStr">
        <is>
          <t>画布视口组件</t>
        </is>
      </c>
      <c r="E4" s="2" t="inlineStr">
        <is>
          <t>无限延展创作空间实现/画布拖拽平移/画布缩放(放大缩小)/适应视图/鼠标模式切换(选择/抓手)/快捷键</t>
        </is>
      </c>
      <c r="F4" s="2" t="inlineStr"/>
      <c r="G4" s="2" t="inlineStr"/>
      <c r="H4" s="2" t="inlineStr"/>
      <c r="I4" s="3" t="n">
        <v>0.343</v>
      </c>
      <c r="J4" s="3" t="n">
        <v>0</v>
      </c>
      <c r="K4" s="2" t="inlineStr">
        <is>
          <t>P0</t>
        </is>
      </c>
      <c r="L4" s="2" t="inlineStr">
        <is>
          <t>高</t>
        </is>
      </c>
      <c r="M4" s="2" t="inlineStr">
        <is>
          <t>F-01-01</t>
        </is>
      </c>
      <c r="N4" s="2" t="inlineStr">
        <is>
          <t>大画布渲染性能</t>
        </is>
      </c>
      <c r="O4" s="2" t="inlineStr">
        <is>
          <t>未开始</t>
        </is>
      </c>
      <c r="P4" s="2" t="inlineStr">
        <is>
          <t>画布视口组件</t>
        </is>
      </c>
      <c r="Q4" s="2" t="inlineStr"/>
    </row>
    <row r="5">
      <c r="A5" s="5" t="inlineStr">
        <is>
          <t>F-02</t>
        </is>
      </c>
      <c r="B5" s="5" t="inlineStr">
        <is>
          <t>F-02-02</t>
        </is>
      </c>
      <c r="C5" s="5" t="inlineStr">
        <is>
          <t>无限画布</t>
        </is>
      </c>
      <c r="D5" s="5" t="inlineStr">
        <is>
          <t>一键整理功能</t>
        </is>
      </c>
      <c r="E5" s="5" t="inlineStr">
        <is>
          <t>自动排列所有节点/不重叠布局/连线指向保持</t>
        </is>
      </c>
      <c r="F5" s="5" t="inlineStr"/>
      <c r="G5" s="5" t="inlineStr"/>
      <c r="H5" s="5" t="inlineStr"/>
      <c r="I5" s="6" t="n">
        <v>0.137</v>
      </c>
      <c r="J5" s="6" t="n">
        <v>0</v>
      </c>
      <c r="K5" s="5" t="inlineStr">
        <is>
          <t>P0</t>
        </is>
      </c>
      <c r="L5" s="5" t="inlineStr">
        <is>
          <t>中</t>
        </is>
      </c>
      <c r="M5" s="5" t="inlineStr">
        <is>
          <t>F-02-01</t>
        </is>
      </c>
      <c r="N5" s="5" t="inlineStr">
        <is>
          <t>布局算法复杂</t>
        </is>
      </c>
      <c r="O5" s="5" t="inlineStr">
        <is>
          <t>未开始</t>
        </is>
      </c>
      <c r="P5" s="5" t="inlineStr"/>
      <c r="Q5" s="5" t="inlineStr"/>
    </row>
    <row r="6">
      <c r="A6" s="2" t="inlineStr">
        <is>
          <t>F-03</t>
        </is>
      </c>
      <c r="B6" s="2" t="inlineStr">
        <is>
          <t>F-03-01</t>
        </is>
      </c>
      <c r="C6" s="2" t="inlineStr">
        <is>
          <t>卡片管理</t>
        </is>
      </c>
      <c r="D6" s="2" t="inlineStr">
        <is>
          <t>卡片创建入口</t>
        </is>
      </c>
      <c r="E6" s="2" t="inlineStr">
        <is>
          <t>新建卡片(左侧添加按钮/右键画布/双击画布空白处3种方式)/卡片类型选择</t>
        </is>
      </c>
      <c r="F6" s="2" t="inlineStr"/>
      <c r="G6" s="2" t="inlineStr"/>
      <c r="H6" s="2" t="inlineStr"/>
      <c r="I6" s="3" t="n">
        <v>0.206</v>
      </c>
      <c r="J6" s="3" t="n">
        <v>0</v>
      </c>
      <c r="K6" s="2" t="inlineStr">
        <is>
          <t>P0</t>
        </is>
      </c>
      <c r="L6" s="2" t="inlineStr">
        <is>
          <t>中</t>
        </is>
      </c>
      <c r="M6" s="2" t="inlineStr">
        <is>
          <t>F-02-01</t>
        </is>
      </c>
      <c r="N6" s="2" t="inlineStr"/>
      <c r="O6" s="2" t="inlineStr">
        <is>
          <t>未开始</t>
        </is>
      </c>
      <c r="P6" s="2" t="inlineStr">
        <is>
          <t>卡片创建组件</t>
        </is>
      </c>
      <c r="Q6" s="2" t="inlineStr"/>
    </row>
    <row r="7">
      <c r="A7" s="5" t="inlineStr">
        <is>
          <t>F-03</t>
        </is>
      </c>
      <c r="B7" s="5" t="inlineStr">
        <is>
          <t>F-03-02</t>
        </is>
      </c>
      <c r="C7" s="5" t="inlineStr">
        <is>
          <t>卡片管理</t>
        </is>
      </c>
      <c r="D7" s="5" t="inlineStr">
        <is>
          <t>卡片交互操作</t>
        </is>
      </c>
      <c r="E7" s="5" t="inlineStr">
        <is>
          <t>卡片拖拽移动/卡片缩放/卡片复制/卡片删除/多卡片框选/删除影响提示</t>
        </is>
      </c>
      <c r="F7" s="5" t="inlineStr"/>
      <c r="G7" s="5" t="inlineStr"/>
      <c r="H7" s="5" t="inlineStr"/>
      <c r="I7" s="6" t="n">
        <v>0.274</v>
      </c>
      <c r="J7" s="6" t="n">
        <v>0</v>
      </c>
      <c r="K7" s="5" t="inlineStr">
        <is>
          <t>P0</t>
        </is>
      </c>
      <c r="L7" s="5" t="inlineStr">
        <is>
          <t>高</t>
        </is>
      </c>
      <c r="M7" s="5" t="inlineStr">
        <is>
          <t>F-03-01</t>
        </is>
      </c>
      <c r="N7" s="5" t="inlineStr">
        <is>
          <t>节点过多卡顿</t>
        </is>
      </c>
      <c r="O7" s="5" t="inlineStr">
        <is>
          <t>未开始</t>
        </is>
      </c>
      <c r="P7" s="5" t="inlineStr">
        <is>
          <t>节点交互系统</t>
        </is>
      </c>
      <c r="Q7" s="5" t="inlineStr"/>
    </row>
    <row r="8">
      <c r="A8" s="2" t="inlineStr">
        <is>
          <t>F-03</t>
        </is>
      </c>
      <c r="B8" s="2" t="inlineStr">
        <is>
          <t>F-03-03</t>
        </is>
      </c>
      <c r="C8" s="2" t="inlineStr">
        <is>
          <t>卡片管理</t>
        </is>
      </c>
      <c r="D8" s="2" t="inlineStr">
        <is>
          <t>卡片编辑功能</t>
        </is>
      </c>
      <c r="E8" s="2" t="inlineStr">
        <is>
          <t>修改卡片内容/修改卡片参数/编辑面板UI</t>
        </is>
      </c>
      <c r="F8" s="2" t="inlineStr"/>
      <c r="G8" s="2" t="inlineStr"/>
      <c r="H8" s="2" t="inlineStr"/>
      <c r="I8" s="3" t="n">
        <v>0.206</v>
      </c>
      <c r="J8" s="3" t="n">
        <v>0</v>
      </c>
      <c r="K8" s="2" t="inlineStr">
        <is>
          <t>P0</t>
        </is>
      </c>
      <c r="L8" s="2" t="inlineStr">
        <is>
          <t>中</t>
        </is>
      </c>
      <c r="M8" s="2" t="inlineStr">
        <is>
          <t>F-03-02</t>
        </is>
      </c>
      <c r="N8" s="2" t="inlineStr"/>
      <c r="O8" s="2" t="inlineStr">
        <is>
          <t>未开始</t>
        </is>
      </c>
      <c r="P8" s="2" t="inlineStr">
        <is>
          <t>卡片编辑面板</t>
        </is>
      </c>
      <c r="Q8" s="2" t="inlineStr"/>
    </row>
    <row r="9">
      <c r="A9" s="5" t="inlineStr">
        <is>
          <t>F-04</t>
        </is>
      </c>
      <c r="B9" s="5" t="inlineStr">
        <is>
          <t>F-04-01</t>
        </is>
      </c>
      <c r="C9" s="5" t="inlineStr">
        <is>
          <t>连线系统</t>
        </is>
      </c>
      <c r="D9" s="5" t="inlineStr">
        <is>
          <t>连线交互</t>
        </is>
      </c>
      <c r="E9" s="5" t="inlineStr">
        <is>
          <t>添加连线(输出端拖拽至输入端)/通过输出端呼出模态选择列表/一键创建下游节点并自动连线</t>
        </is>
      </c>
      <c r="F9" s="5" t="inlineStr"/>
      <c r="G9" s="5" t="inlineStr"/>
      <c r="H9" s="5" t="inlineStr"/>
      <c r="I9" s="6" t="n">
        <v>0.274</v>
      </c>
      <c r="J9" s="6" t="n">
        <v>0</v>
      </c>
      <c r="K9" s="5" t="inlineStr">
        <is>
          <t>P0</t>
        </is>
      </c>
      <c r="L9" s="5" t="inlineStr">
        <is>
          <t>中</t>
        </is>
      </c>
      <c r="M9" s="5" t="inlineStr">
        <is>
          <t>F-03-01</t>
        </is>
      </c>
      <c r="N9" s="5" t="inlineStr"/>
      <c r="O9" s="5" t="inlineStr">
        <is>
          <t>未开始</t>
        </is>
      </c>
      <c r="P9" s="5" t="inlineStr">
        <is>
          <t>连线交互组件</t>
        </is>
      </c>
      <c r="Q9" s="5" t="inlineStr"/>
    </row>
    <row r="10">
      <c r="A10" s="2" t="inlineStr">
        <is>
          <t>F-04</t>
        </is>
      </c>
      <c r="B10" s="2" t="inlineStr">
        <is>
          <t>F-04-02</t>
        </is>
      </c>
      <c r="C10" s="2" t="inlineStr">
        <is>
          <t>连线系统</t>
        </is>
      </c>
      <c r="D10" s="2" t="inlineStr">
        <is>
          <t>连线管理</t>
        </is>
      </c>
      <c r="E10" s="2" t="inlineStr">
        <is>
          <t>删除连线/连线状态可视化(蓝色有效/灰色无效/黑色选中)/连线曲线渲染</t>
        </is>
      </c>
      <c r="F10" s="2" t="inlineStr"/>
      <c r="G10" s="2" t="inlineStr"/>
      <c r="H10" s="2" t="inlineStr"/>
      <c r="I10" s="3" t="n">
        <v>0.206</v>
      </c>
      <c r="J10" s="3" t="n">
        <v>0</v>
      </c>
      <c r="K10" s="2" t="inlineStr">
        <is>
          <t>P0</t>
        </is>
      </c>
      <c r="L10" s="2" t="inlineStr">
        <is>
          <t>中</t>
        </is>
      </c>
      <c r="M10" s="2" t="inlineStr">
        <is>
          <t>F-04-01</t>
        </is>
      </c>
      <c r="N10" s="2" t="inlineStr"/>
      <c r="O10" s="2" t="inlineStr">
        <is>
          <t>未开始</t>
        </is>
      </c>
      <c r="P10" s="2" t="inlineStr"/>
      <c r="Q10" s="2" t="inlineStr"/>
    </row>
    <row r="11">
      <c r="A11" s="5" t="inlineStr">
        <is>
          <t>F-04</t>
        </is>
      </c>
      <c r="B11" s="5" t="inlineStr">
        <is>
          <t>F-04-03</t>
        </is>
      </c>
      <c r="C11" s="5" t="inlineStr">
        <is>
          <t>连线系统</t>
        </is>
      </c>
      <c r="D11" s="5" t="inlineStr">
        <is>
          <t>连线校验</t>
        </is>
      </c>
      <c r="E11" s="5" t="inlineStr">
        <is>
          <t>兼容性校验/阻止自连接/阻止重复连接/不兼容提示</t>
        </is>
      </c>
      <c r="F11" s="5" t="inlineStr"/>
      <c r="G11" s="5" t="inlineStr"/>
      <c r="H11" s="5" t="inlineStr"/>
      <c r="I11" s="6" t="n">
        <v>0.137</v>
      </c>
      <c r="J11" s="6" t="n">
        <v>0</v>
      </c>
      <c r="K11" s="5" t="inlineStr">
        <is>
          <t>P0</t>
        </is>
      </c>
      <c r="L11" s="5" t="inlineStr">
        <is>
          <t>中</t>
        </is>
      </c>
      <c r="M11" s="5" t="inlineStr">
        <is>
          <t>F-04-01</t>
        </is>
      </c>
      <c r="N11" s="5" t="inlineStr"/>
      <c r="O11" s="5" t="inlineStr">
        <is>
          <t>未开始</t>
        </is>
      </c>
      <c r="P11" s="5" t="inlineStr"/>
      <c r="Q11" s="5" t="inlineStr"/>
    </row>
    <row r="12">
      <c r="A12" s="2" t="inlineStr">
        <is>
          <t>F-05</t>
        </is>
      </c>
      <c r="B12" s="2" t="inlineStr">
        <is>
          <t>F-05-01</t>
        </is>
      </c>
      <c r="C12" s="2" t="inlineStr">
        <is>
          <t>编组功能</t>
        </is>
      </c>
      <c r="D12" s="2" t="inlineStr">
        <is>
          <t>编组创建</t>
        </is>
      </c>
      <c r="E12" s="2" t="inlineStr">
        <is>
          <t>框选多卡片创建编组/编组颜色选择</t>
        </is>
      </c>
      <c r="F12" s="2" t="inlineStr"/>
      <c r="G12" s="2" t="inlineStr"/>
      <c r="H12" s="2" t="inlineStr"/>
      <c r="I12" s="3" t="n">
        <v>0.137</v>
      </c>
      <c r="J12" s="3" t="n">
        <v>0</v>
      </c>
      <c r="K12" s="2" t="inlineStr">
        <is>
          <t>P1</t>
        </is>
      </c>
      <c r="L12" s="2" t="inlineStr">
        <is>
          <t>低</t>
        </is>
      </c>
      <c r="M12" s="2" t="inlineStr">
        <is>
          <t>F-03-02</t>
        </is>
      </c>
      <c r="N12" s="2" t="inlineStr"/>
      <c r="O12" s="2" t="inlineStr">
        <is>
          <t>未开始</t>
        </is>
      </c>
      <c r="P12" s="2" t="inlineStr">
        <is>
          <t>编组组件</t>
        </is>
      </c>
      <c r="Q12" s="2" t="inlineStr"/>
    </row>
    <row r="13">
      <c r="A13" s="5" t="inlineStr">
        <is>
          <t>F-05</t>
        </is>
      </c>
      <c r="B13" s="5" t="inlineStr">
        <is>
          <t>F-05-02</t>
        </is>
      </c>
      <c r="C13" s="5" t="inlineStr">
        <is>
          <t>编组功能</t>
        </is>
      </c>
      <c r="D13" s="5" t="inlineStr">
        <is>
          <t>编组布局</t>
        </is>
      </c>
      <c r="E13" s="5" t="inlineStr">
        <is>
          <t>网格排列(自动网格布局)/水平排列(自动水平布局)</t>
        </is>
      </c>
      <c r="F13" s="5" t="inlineStr"/>
      <c r="G13" s="5" t="inlineStr"/>
      <c r="H13" s="5" t="inlineStr"/>
      <c r="I13" s="6" t="n">
        <v>0.137</v>
      </c>
      <c r="J13" s="6" t="n">
        <v>0</v>
      </c>
      <c r="K13" s="5" t="inlineStr">
        <is>
          <t>P1</t>
        </is>
      </c>
      <c r="L13" s="5" t="inlineStr">
        <is>
          <t>中</t>
        </is>
      </c>
      <c r="M13" s="5" t="inlineStr">
        <is>
          <t>F-05-01</t>
        </is>
      </c>
      <c r="N13" s="5" t="inlineStr"/>
      <c r="O13" s="5" t="inlineStr">
        <is>
          <t>未开始</t>
        </is>
      </c>
      <c r="P13" s="5" t="inlineStr"/>
      <c r="Q13" s="5" t="inlineStr"/>
    </row>
    <row r="14">
      <c r="A14" s="2" t="inlineStr">
        <is>
          <t>F-05</t>
        </is>
      </c>
      <c r="B14" s="2" t="inlineStr">
        <is>
          <t>F-05-03</t>
        </is>
      </c>
      <c r="C14" s="2" t="inlineStr">
        <is>
          <t>编组功能</t>
        </is>
      </c>
      <c r="D14" s="2" t="inlineStr">
        <is>
          <t>编组操作</t>
        </is>
      </c>
      <c r="E14" s="2" t="inlineStr">
        <is>
          <t>取消编组(保留节点坐标连线)/下载编组内所有内容</t>
        </is>
      </c>
      <c r="F14" s="2" t="inlineStr"/>
      <c r="G14" s="2" t="inlineStr"/>
      <c r="H14" s="2" t="inlineStr"/>
      <c r="I14" s="3" t="n">
        <v>0.137</v>
      </c>
      <c r="J14" s="3" t="n">
        <v>0</v>
      </c>
      <c r="K14" s="2" t="inlineStr">
        <is>
          <t>P1</t>
        </is>
      </c>
      <c r="L14" s="2" t="inlineStr">
        <is>
          <t>低</t>
        </is>
      </c>
      <c r="M14" s="2" t="inlineStr">
        <is>
          <t>F-05-01</t>
        </is>
      </c>
      <c r="N14" s="2" t="inlineStr"/>
      <c r="O14" s="2" t="inlineStr">
        <is>
          <t>未开始</t>
        </is>
      </c>
      <c r="P14" s="2" t="inlineStr"/>
      <c r="Q14" s="2" t="inlineStr"/>
    </row>
    <row r="15">
      <c r="A15" s="5" t="inlineStr">
        <is>
          <t>F-06</t>
        </is>
      </c>
      <c r="B15" s="5" t="inlineStr">
        <is>
          <t>F-06-01</t>
        </is>
      </c>
      <c r="C15" s="5" t="inlineStr">
        <is>
          <t>堆叠功能</t>
        </is>
      </c>
      <c r="D15" s="5" t="inlineStr">
        <is>
          <t>堆叠创建</t>
        </is>
      </c>
      <c r="E15" s="5" t="inlineStr">
        <is>
          <t>框选多卡片堆叠为一张卡片(展示拼图预览)</t>
        </is>
      </c>
      <c r="F15" s="5" t="inlineStr"/>
      <c r="G15" s="5" t="inlineStr"/>
      <c r="H15" s="5" t="inlineStr"/>
      <c r="I15" s="6" t="n">
        <v>0.137</v>
      </c>
      <c r="J15" s="6" t="n">
        <v>0</v>
      </c>
      <c r="K15" s="5" t="inlineStr">
        <is>
          <t>P1</t>
        </is>
      </c>
      <c r="L15" s="5" t="inlineStr">
        <is>
          <t>低</t>
        </is>
      </c>
      <c r="M15" s="5" t="inlineStr">
        <is>
          <t>F-03-02</t>
        </is>
      </c>
      <c r="N15" s="5" t="inlineStr"/>
      <c r="O15" s="5" t="inlineStr">
        <is>
          <t>未开始</t>
        </is>
      </c>
      <c r="P15" s="5" t="inlineStr">
        <is>
          <t>堆叠组件</t>
        </is>
      </c>
      <c r="Q15" s="5" t="inlineStr"/>
    </row>
    <row r="16">
      <c r="A16" s="2" t="inlineStr">
        <is>
          <t>F-06</t>
        </is>
      </c>
      <c r="B16" s="2" t="inlineStr">
        <is>
          <t>F-06-02</t>
        </is>
      </c>
      <c r="C16" s="2" t="inlineStr">
        <is>
          <t>堆叠功能</t>
        </is>
      </c>
      <c r="D16" s="2" t="inlineStr">
        <is>
          <t>堆叠交互</t>
        </is>
      </c>
      <c r="E16" s="2" t="inlineStr">
        <is>
          <t>双击展开堆叠卡片/点击空白重新堆叠/拉出到画布(单独拉出某卡片)</t>
        </is>
      </c>
      <c r="F16" s="2" t="inlineStr"/>
      <c r="G16" s="2" t="inlineStr"/>
      <c r="H16" s="2" t="inlineStr"/>
      <c r="I16" s="3" t="n">
        <v>0.206</v>
      </c>
      <c r="J16" s="3" t="n">
        <v>0</v>
      </c>
      <c r="K16" s="2" t="inlineStr">
        <is>
          <t>P1</t>
        </is>
      </c>
      <c r="L16" s="2" t="inlineStr">
        <is>
          <t>中</t>
        </is>
      </c>
      <c r="M16" s="2" t="inlineStr">
        <is>
          <t>F-06-01</t>
        </is>
      </c>
      <c r="N16" s="2" t="inlineStr"/>
      <c r="O16" s="2" t="inlineStr">
        <is>
          <t>未开始</t>
        </is>
      </c>
      <c r="P16" s="2" t="inlineStr"/>
      <c r="Q16" s="2" t="inlineStr"/>
    </row>
    <row r="17">
      <c r="A17" s="5" t="inlineStr">
        <is>
          <t>F-07</t>
        </is>
      </c>
      <c r="B17" s="5" t="inlineStr">
        <is>
          <t>F-07-01</t>
        </is>
      </c>
      <c r="C17" s="5" t="inlineStr">
        <is>
          <t>文本卡片</t>
        </is>
      </c>
      <c r="D17" s="5" t="inlineStr">
        <is>
          <t>文本卡片组件</t>
        </is>
      </c>
      <c r="E17" s="5" t="inlineStr">
        <is>
          <t>Markdown编辑渲染/提示词输入/上传参考/模型选择/参数设置(生成份数)/消耗预览/提交生成</t>
        </is>
      </c>
      <c r="F17" s="5" t="inlineStr"/>
      <c r="G17" s="5" t="inlineStr"/>
      <c r="H17" s="5" t="inlineStr"/>
      <c r="I17" s="6" t="n">
        <v>0.274</v>
      </c>
      <c r="J17" s="6" t="n">
        <v>0</v>
      </c>
      <c r="K17" s="5" t="inlineStr">
        <is>
          <t>P0</t>
        </is>
      </c>
      <c r="L17" s="5" t="inlineStr">
        <is>
          <t>中</t>
        </is>
      </c>
      <c r="M17" s="5" t="inlineStr">
        <is>
          <t>F-03-02</t>
        </is>
      </c>
      <c r="N17" s="5" t="inlineStr">
        <is>
          <t>Markdown兼容</t>
        </is>
      </c>
      <c r="O17" s="5" t="inlineStr">
        <is>
          <t>未开始</t>
        </is>
      </c>
      <c r="P17" s="5" t="inlineStr">
        <is>
          <t>文本卡片组件</t>
        </is>
      </c>
      <c r="Q17" s="5" t="inlineStr"/>
    </row>
    <row r="18">
      <c r="A18" s="2" t="inlineStr">
        <is>
          <t>F-07</t>
        </is>
      </c>
      <c r="B18" s="2" t="inlineStr">
        <is>
          <t>F-07-02</t>
        </is>
      </c>
      <c r="C18" s="2" t="inlineStr">
        <is>
          <t>文本卡片</t>
        </is>
      </c>
      <c r="D18" s="2" t="inlineStr">
        <is>
          <t>文本生成结果</t>
        </is>
      </c>
      <c r="E18" s="2" t="inlineStr">
        <is>
          <t>结果展示/编辑/保存素材库/生成历史列表/历史结果切换</t>
        </is>
      </c>
      <c r="F18" s="2" t="inlineStr"/>
      <c r="G18" s="2" t="inlineStr"/>
      <c r="H18" s="2" t="inlineStr"/>
      <c r="I18" s="3" t="n">
        <v>0.137</v>
      </c>
      <c r="J18" s="3" t="n">
        <v>0</v>
      </c>
      <c r="K18" s="2" t="inlineStr">
        <is>
          <t>P0</t>
        </is>
      </c>
      <c r="L18" s="2" t="inlineStr">
        <is>
          <t>低</t>
        </is>
      </c>
      <c r="M18" s="2" t="inlineStr">
        <is>
          <t>F-07-01</t>
        </is>
      </c>
      <c r="N18" s="2" t="inlineStr"/>
      <c r="O18" s="2" t="inlineStr">
        <is>
          <t>未开始</t>
        </is>
      </c>
      <c r="P18" s="2" t="inlineStr"/>
      <c r="Q18" s="2" t="inlineStr"/>
    </row>
    <row r="19">
      <c r="A19" s="5" t="inlineStr">
        <is>
          <t>F-08</t>
        </is>
      </c>
      <c r="B19" s="5" t="inlineStr">
        <is>
          <t>F-08-01</t>
        </is>
      </c>
      <c r="C19" s="5" t="inlineStr">
        <is>
          <t>图片卡片</t>
        </is>
      </c>
      <c r="D19" s="5" t="inlineStr">
        <is>
          <t>图片卡片组件</t>
        </is>
      </c>
      <c r="E19" s="5" t="inlineStr">
        <is>
          <t>图片上传/参数选择(分辨率/风格/份数)/模型选择/消耗预览/提交生成</t>
        </is>
      </c>
      <c r="F19" s="5" t="inlineStr"/>
      <c r="G19" s="5" t="inlineStr"/>
      <c r="H19" s="5" t="inlineStr"/>
      <c r="I19" s="6" t="n">
        <v>0.274</v>
      </c>
      <c r="J19" s="6" t="n">
        <v>0</v>
      </c>
      <c r="K19" s="5" t="inlineStr">
        <is>
          <t>P0</t>
        </is>
      </c>
      <c r="L19" s="5" t="inlineStr">
        <is>
          <t>中</t>
        </is>
      </c>
      <c r="M19" s="5" t="inlineStr">
        <is>
          <t>F-03-02</t>
        </is>
      </c>
      <c r="N19" s="5" t="inlineStr"/>
      <c r="O19" s="5" t="inlineStr">
        <is>
          <t>未开始</t>
        </is>
      </c>
      <c r="P19" s="5" t="inlineStr">
        <is>
          <t>图片卡片组件</t>
        </is>
      </c>
      <c r="Q19" s="5" t="inlineStr"/>
    </row>
    <row r="20">
      <c r="A20" s="2" t="inlineStr">
        <is>
          <t>F-08</t>
        </is>
      </c>
      <c r="B20" s="2" t="inlineStr">
        <is>
          <t>F-08-02</t>
        </is>
      </c>
      <c r="C20" s="2" t="inlineStr">
        <is>
          <t>图片卡片</t>
        </is>
      </c>
      <c r="D20" s="2" t="inlineStr">
        <is>
          <t>图片结果展示</t>
        </is>
      </c>
      <c r="E20" s="2" t="inlineStr">
        <is>
          <t>生成历史列表/单图四宫格九宫格展示/全屏预览/下载/保存素材库/历史结果切换当前输出</t>
        </is>
      </c>
      <c r="F20" s="2" t="inlineStr"/>
      <c r="G20" s="2" t="inlineStr"/>
      <c r="H20" s="2" t="inlineStr"/>
      <c r="I20" s="3" t="n">
        <v>0.206</v>
      </c>
      <c r="J20" s="3" t="n">
        <v>0</v>
      </c>
      <c r="K20" s="2" t="inlineStr">
        <is>
          <t>P0</t>
        </is>
      </c>
      <c r="L20" s="2" t="inlineStr">
        <is>
          <t>中</t>
        </is>
      </c>
      <c r="M20" s="2" t="inlineStr">
        <is>
          <t>F-08-01</t>
        </is>
      </c>
      <c r="N20" s="2" t="inlineStr"/>
      <c r="O20" s="2" t="inlineStr">
        <is>
          <t>未开始</t>
        </is>
      </c>
      <c r="P20" s="2" t="inlineStr"/>
      <c r="Q20" s="2" t="inlineStr"/>
    </row>
    <row r="21">
      <c r="A21" s="5" t="inlineStr">
        <is>
          <t>F-09</t>
        </is>
      </c>
      <c r="B21" s="5" t="inlineStr">
        <is>
          <t>F-09-01</t>
        </is>
      </c>
      <c r="C21" s="5" t="inlineStr">
        <is>
          <t>视频卡片</t>
        </is>
      </c>
      <c r="D21" s="5" t="inlineStr">
        <is>
          <t>视频卡片组件</t>
        </is>
      </c>
      <c r="E21" s="5" t="inlineStr">
        <is>
          <t>AI生成视频入口/模型选择/参数选择(运镜/风格/份数)/消耗预览</t>
        </is>
      </c>
      <c r="F21" s="5" t="inlineStr"/>
      <c r="G21" s="5" t="inlineStr"/>
      <c r="H21" s="5" t="inlineStr"/>
      <c r="I21" s="6" t="n">
        <v>0.206</v>
      </c>
      <c r="J21" s="6" t="n">
        <v>0</v>
      </c>
      <c r="K21" s="5" t="inlineStr">
        <is>
          <t>P0</t>
        </is>
      </c>
      <c r="L21" s="5" t="inlineStr">
        <is>
          <t>中</t>
        </is>
      </c>
      <c r="M21" s="5" t="inlineStr">
        <is>
          <t>F-03-02</t>
        </is>
      </c>
      <c r="N21" s="5" t="inlineStr"/>
      <c r="O21" s="5" t="inlineStr">
        <is>
          <t>未开始</t>
        </is>
      </c>
      <c r="P21" s="5" t="inlineStr">
        <is>
          <t>视频卡片组件</t>
        </is>
      </c>
      <c r="Q21" s="5" t="inlineStr"/>
    </row>
    <row r="22">
      <c r="A22" s="2" t="inlineStr">
        <is>
          <t>F-09</t>
        </is>
      </c>
      <c r="B22" s="2" t="inlineStr">
        <is>
          <t>F-09-02</t>
        </is>
      </c>
      <c r="C22" s="2" t="inlineStr">
        <is>
          <t>视频卡片</t>
        </is>
      </c>
      <c r="D22" s="2" t="inlineStr">
        <is>
          <t>视频编辑操作</t>
        </is>
      </c>
      <c r="E22" s="2" t="inlineStr">
        <is>
          <t>剪辑(拖动首尾边界确认时间范围)/提取帧(拖动时间轴截取当前帧)</t>
        </is>
      </c>
      <c r="F22" s="2" t="inlineStr"/>
      <c r="G22" s="2" t="inlineStr"/>
      <c r="H22" s="2" t="inlineStr"/>
      <c r="I22" s="3" t="n">
        <v>0.206</v>
      </c>
      <c r="J22" s="3" t="n">
        <v>0</v>
      </c>
      <c r="K22" s="2" t="inlineStr">
        <is>
          <t>P1</t>
        </is>
      </c>
      <c r="L22" s="2" t="inlineStr">
        <is>
          <t>中</t>
        </is>
      </c>
      <c r="M22" s="2" t="inlineStr">
        <is>
          <t>F-09-01</t>
        </is>
      </c>
      <c r="N22" s="2" t="inlineStr">
        <is>
          <t>视频播放器</t>
        </is>
      </c>
      <c r="O22" s="2" t="inlineStr">
        <is>
          <t>未开始</t>
        </is>
      </c>
      <c r="P22" s="2" t="inlineStr">
        <is>
          <t>视频编辑面板</t>
        </is>
      </c>
      <c r="Q22" s="2" t="inlineStr"/>
    </row>
    <row r="23">
      <c r="A23" s="5" t="inlineStr">
        <is>
          <t>F-09</t>
        </is>
      </c>
      <c r="B23" s="5" t="inlineStr">
        <is>
          <t>F-09-03</t>
        </is>
      </c>
      <c r="C23" s="5" t="inlineStr">
        <is>
          <t>视频卡片</t>
        </is>
      </c>
      <c r="D23" s="5" t="inlineStr">
        <is>
          <t>视频结果与认证</t>
        </is>
      </c>
      <c r="E23" s="5" t="inlineStr">
        <is>
          <t>超分(选择目标分辨率)/认证(Seedance 2.0素材认证)/下载/存入素材库/全屏展示/生成历史</t>
        </is>
      </c>
      <c r="F23" s="5" t="inlineStr"/>
      <c r="G23" s="5" t="inlineStr"/>
      <c r="H23" s="5" t="inlineStr"/>
      <c r="I23" s="6" t="n">
        <v>0.137</v>
      </c>
      <c r="J23" s="6" t="n">
        <v>0</v>
      </c>
      <c r="K23" s="5" t="inlineStr">
        <is>
          <t>P1</t>
        </is>
      </c>
      <c r="L23" s="5" t="inlineStr">
        <is>
          <t>中</t>
        </is>
      </c>
      <c r="M23" s="5" t="inlineStr">
        <is>
          <t>F-09-02</t>
        </is>
      </c>
      <c r="N23" s="5" t="inlineStr">
        <is>
          <t>Seedance认证接口</t>
        </is>
      </c>
      <c r="O23" s="5" t="inlineStr">
        <is>
          <t>未开始</t>
        </is>
      </c>
      <c r="P23" s="5" t="inlineStr"/>
      <c r="Q23" s="5" t="inlineStr"/>
    </row>
    <row r="24">
      <c r="A24" s="2" t="inlineStr">
        <is>
          <t>F-10</t>
        </is>
      </c>
      <c r="B24" s="2" t="inlineStr">
        <is>
          <t>F-10-01</t>
        </is>
      </c>
      <c r="C24" s="2" t="inlineStr">
        <is>
          <t>音频卡片</t>
        </is>
      </c>
      <c r="D24" s="2" t="inlineStr">
        <is>
          <t>音频卡片组件</t>
        </is>
      </c>
      <c r="E24" s="2" t="inlineStr">
        <is>
          <t>上传参考/AI生成音频/模型选择/参数选择(风格/份数)/消耗预览/试听播放器/下载/存入素材库</t>
        </is>
      </c>
      <c r="F24" s="2" t="inlineStr"/>
      <c r="G24" s="2" t="inlineStr"/>
      <c r="H24" s="2" t="inlineStr"/>
      <c r="I24" s="3" t="n">
        <v>0.206</v>
      </c>
      <c r="J24" s="3" t="n">
        <v>0</v>
      </c>
      <c r="K24" s="2" t="inlineStr">
        <is>
          <t>P0</t>
        </is>
      </c>
      <c r="L24" s="2" t="inlineStr">
        <is>
          <t>低</t>
        </is>
      </c>
      <c r="M24" s="2" t="inlineStr">
        <is>
          <t>F-03-02</t>
        </is>
      </c>
      <c r="N24" s="2" t="inlineStr"/>
      <c r="O24" s="2" t="inlineStr">
        <is>
          <t>未开始</t>
        </is>
      </c>
      <c r="P24" s="2" t="inlineStr">
        <is>
          <t>音频卡片组件</t>
        </is>
      </c>
      <c r="Q24" s="2" t="inlineStr"/>
    </row>
    <row r="25">
      <c r="A25" s="5" t="inlineStr">
        <is>
          <t>F-11</t>
        </is>
      </c>
      <c r="B25" s="5" t="inlineStr">
        <is>
          <t>F-11-01</t>
        </is>
      </c>
      <c r="C25" s="5" t="inlineStr">
        <is>
          <t>合成节点</t>
        </is>
      </c>
      <c r="D25" s="5" t="inlineStr">
        <is>
          <t>合成节点组件</t>
        </is>
      </c>
      <c r="E25" s="5" t="inlineStr">
        <is>
          <t>左侧接收多个视频节点输入/多段视频拼接预览列表/调整拼接顺序</t>
        </is>
      </c>
      <c r="F25" s="5" t="inlineStr"/>
      <c r="G25" s="5" t="inlineStr"/>
      <c r="H25" s="5" t="inlineStr"/>
      <c r="I25" s="6" t="n">
        <v>0.206</v>
      </c>
      <c r="J25" s="6" t="n">
        <v>0</v>
      </c>
      <c r="K25" s="5" t="inlineStr">
        <is>
          <t>P1</t>
        </is>
      </c>
      <c r="L25" s="5" t="inlineStr">
        <is>
          <t>中</t>
        </is>
      </c>
      <c r="M25" s="5" t="inlineStr">
        <is>
          <t>F-09-01</t>
        </is>
      </c>
      <c r="N25" s="5" t="inlineStr"/>
      <c r="O25" s="5" t="inlineStr">
        <is>
          <t>未开始</t>
        </is>
      </c>
      <c r="P25" s="5" t="inlineStr">
        <is>
          <t>合成节点组件</t>
        </is>
      </c>
      <c r="Q25" s="5" t="inlineStr"/>
    </row>
    <row r="26">
      <c r="A26" s="2" t="inlineStr">
        <is>
          <t>F-11</t>
        </is>
      </c>
      <c r="B26" s="2" t="inlineStr">
        <is>
          <t>F-11-02</t>
        </is>
      </c>
      <c r="C26" s="2" t="inlineStr">
        <is>
          <t>合成节点</t>
        </is>
      </c>
      <c r="D26" s="2" t="inlineStr">
        <is>
          <t>合成操作</t>
        </is>
      </c>
      <c r="E26" s="2" t="inlineStr">
        <is>
          <t>点击合成/消耗预览/合成结果播放与下载</t>
        </is>
      </c>
      <c r="F26" s="2" t="inlineStr"/>
      <c r="G26" s="2" t="inlineStr"/>
      <c r="H26" s="2" t="inlineStr"/>
      <c r="I26" s="3" t="n">
        <v>0.137</v>
      </c>
      <c r="J26" s="3" t="n">
        <v>0</v>
      </c>
      <c r="K26" s="2" t="inlineStr">
        <is>
          <t>P1</t>
        </is>
      </c>
      <c r="L26" s="2" t="inlineStr">
        <is>
          <t>低</t>
        </is>
      </c>
      <c r="M26" s="2" t="inlineStr">
        <is>
          <t>F-11-01</t>
        </is>
      </c>
      <c r="N26" s="2" t="inlineStr"/>
      <c r="O26" s="2" t="inlineStr">
        <is>
          <t>未开始</t>
        </is>
      </c>
      <c r="P26" s="2" t="inlineStr"/>
      <c r="Q26" s="2" t="inlineStr"/>
    </row>
    <row r="27">
      <c r="A27" s="5" t="inlineStr">
        <is>
          <t>F-12</t>
        </is>
      </c>
      <c r="B27" s="5" t="inlineStr">
        <is>
          <t>F-12-01</t>
        </is>
      </c>
      <c r="C27" s="5" t="inlineStr">
        <is>
          <t>导演台</t>
        </is>
      </c>
      <c r="D27" s="5" t="inlineStr">
        <is>
          <t>导演台编辑页</t>
        </is>
      </c>
      <c r="E27" s="5" t="inlineStr">
        <is>
          <t>作为图片/视频节点上游输入/进入导演台编辑页面/3D场景渲染</t>
        </is>
      </c>
      <c r="F27" s="5" t="inlineStr"/>
      <c r="G27" s="5" t="inlineStr"/>
      <c r="H27" s="5" t="inlineStr"/>
      <c r="I27" s="6" t="n">
        <v>0.343</v>
      </c>
      <c r="J27" s="6" t="n">
        <v>0</v>
      </c>
      <c r="K27" s="5" t="inlineStr">
        <is>
          <t>P1</t>
        </is>
      </c>
      <c r="L27" s="5" t="inlineStr">
        <is>
          <t>高</t>
        </is>
      </c>
      <c r="M27" s="5" t="inlineStr">
        <is>
          <t>F-03-02</t>
        </is>
      </c>
      <c r="N27" s="5" t="inlineStr">
        <is>
          <t>3D渲染性能</t>
        </is>
      </c>
      <c r="O27" s="5" t="inlineStr">
        <is>
          <t>未开始</t>
        </is>
      </c>
      <c r="P27" s="5" t="inlineStr">
        <is>
          <t>导演台组件</t>
        </is>
      </c>
      <c r="Q27" s="5" t="inlineStr"/>
    </row>
    <row r="28">
      <c r="A28" s="2" t="inlineStr">
        <is>
          <t>F-12</t>
        </is>
      </c>
      <c r="B28" s="2" t="inlineStr">
        <is>
          <t>F-12-02</t>
        </is>
      </c>
      <c r="C28" s="2" t="inlineStr">
        <is>
          <t>导演台</t>
        </is>
      </c>
      <c r="D28" s="2" t="inlineStr">
        <is>
          <t>模型与参数</t>
        </is>
      </c>
      <c r="E28" s="2" t="inlineStr">
        <is>
          <t>新增模型(从列表选择)/删除模型/修改基础模型位置与大小/修改人物模型颜色位置姿态/拖拽滚轴调整参数</t>
        </is>
      </c>
      <c r="F28" s="2" t="inlineStr"/>
      <c r="G28" s="2" t="inlineStr"/>
      <c r="H28" s="2" t="inlineStr"/>
      <c r="I28" s="3" t="n">
        <v>0.206</v>
      </c>
      <c r="J28" s="3" t="n">
        <v>0</v>
      </c>
      <c r="K28" s="2" t="inlineStr">
        <is>
          <t>P1</t>
        </is>
      </c>
      <c r="L28" s="2" t="inlineStr">
        <is>
          <t>中</t>
        </is>
      </c>
      <c r="M28" s="2" t="inlineStr">
        <is>
          <t>F-12-01</t>
        </is>
      </c>
      <c r="N28" s="2" t="inlineStr"/>
      <c r="O28" s="2" t="inlineStr">
        <is>
          <t>未开始</t>
        </is>
      </c>
      <c r="P28" s="2" t="inlineStr"/>
      <c r="Q28" s="2" t="inlineStr"/>
    </row>
    <row r="29">
      <c r="A29" s="5" t="inlineStr">
        <is>
          <t>F-12</t>
        </is>
      </c>
      <c r="B29" s="5" t="inlineStr">
        <is>
          <t>F-12-03</t>
        </is>
      </c>
      <c r="C29" s="5" t="inlineStr">
        <is>
          <t>导演台</t>
        </is>
      </c>
      <c r="D29" s="5" t="inlineStr">
        <is>
          <t>拍照与视角</t>
        </is>
      </c>
      <c r="E29" s="5" t="inlineStr">
        <is>
          <t>调整视角/拍照(生成当前场景截图作为节点输出)</t>
        </is>
      </c>
      <c r="F29" s="5" t="inlineStr"/>
      <c r="G29" s="5" t="inlineStr"/>
      <c r="H29" s="5" t="inlineStr"/>
      <c r="I29" s="6" t="n">
        <v>0.137</v>
      </c>
      <c r="J29" s="6" t="n">
        <v>0</v>
      </c>
      <c r="K29" s="5" t="inlineStr">
        <is>
          <t>P1</t>
        </is>
      </c>
      <c r="L29" s="5" t="inlineStr">
        <is>
          <t>中</t>
        </is>
      </c>
      <c r="M29" s="5" t="inlineStr">
        <is>
          <t>F-12-02</t>
        </is>
      </c>
      <c r="N29" s="5" t="inlineStr"/>
      <c r="O29" s="5" t="inlineStr">
        <is>
          <t>未开始</t>
        </is>
      </c>
      <c r="P29" s="5" t="inlineStr"/>
      <c r="Q29" s="5" t="inlineStr"/>
    </row>
    <row r="30">
      <c r="A30" s="2" t="inlineStr">
        <is>
          <t>F-13</t>
        </is>
      </c>
      <c r="B30" s="2" t="inlineStr">
        <is>
          <t>F-13-01</t>
        </is>
      </c>
      <c r="C30" s="2" t="inlineStr">
        <is>
          <t>素材库</t>
        </is>
      </c>
      <c r="D30" s="2" t="inlineStr">
        <is>
          <t>素材库侧边栏</t>
        </is>
      </c>
      <c r="E30" s="2" t="inlineStr">
        <is>
          <t>侧边栏展示/图标模式与列表模式切换</t>
        </is>
      </c>
      <c r="F30" s="2" t="inlineStr"/>
      <c r="G30" s="2" t="inlineStr"/>
      <c r="H30" s="2" t="inlineStr"/>
      <c r="I30" s="3" t="n">
        <v>0.137</v>
      </c>
      <c r="J30" s="3" t="n">
        <v>0</v>
      </c>
      <c r="K30" s="2" t="inlineStr">
        <is>
          <t>P0</t>
        </is>
      </c>
      <c r="L30" s="2" t="inlineStr">
        <is>
          <t>低</t>
        </is>
      </c>
      <c r="M30" s="2" t="inlineStr">
        <is>
          <t>F-03-01</t>
        </is>
      </c>
      <c r="N30" s="2" t="inlineStr"/>
      <c r="O30" s="2" t="inlineStr">
        <is>
          <t>未开始</t>
        </is>
      </c>
      <c r="P30" s="2" t="inlineStr">
        <is>
          <t>素材库组件</t>
        </is>
      </c>
      <c r="Q30" s="2" t="inlineStr"/>
    </row>
    <row r="31">
      <c r="A31" s="5" t="inlineStr">
        <is>
          <t>F-13</t>
        </is>
      </c>
      <c r="B31" s="5" t="inlineStr">
        <is>
          <t>F-13-02</t>
        </is>
      </c>
      <c r="C31" s="5" t="inlineStr">
        <is>
          <t>素材库</t>
        </is>
      </c>
      <c r="D31" s="5" t="inlineStr">
        <is>
          <t>素材管理操作</t>
        </is>
      </c>
      <c r="E31" s="5" t="inlineStr">
        <is>
          <t>从画布卡片存入素材库/本地文件上传/拖拽素材到画布/导入画布/下载素材/替换素材(上传新文件)/删除素材(二次确认)/重命名素材/全屏预览素材</t>
        </is>
      </c>
      <c r="F31" s="5" t="inlineStr"/>
      <c r="G31" s="5" t="inlineStr"/>
      <c r="H31" s="5" t="inlineStr"/>
      <c r="I31" s="6" t="n">
        <v>0.274</v>
      </c>
      <c r="J31" s="6" t="n">
        <v>0</v>
      </c>
      <c r="K31" s="5" t="inlineStr">
        <is>
          <t>P0</t>
        </is>
      </c>
      <c r="L31" s="5" t="inlineStr">
        <is>
          <t>中</t>
        </is>
      </c>
      <c r="M31" s="5" t="inlineStr">
        <is>
          <t>F-13-01</t>
        </is>
      </c>
      <c r="N31" s="5" t="inlineStr"/>
      <c r="O31" s="5" t="inlineStr">
        <is>
          <t>未开始</t>
        </is>
      </c>
      <c r="P31" s="5" t="inlineStr"/>
      <c r="Q31" s="5" t="inlineStr"/>
    </row>
    <row r="32">
      <c r="A32" s="2" t="inlineStr">
        <is>
          <t>F-13</t>
        </is>
      </c>
      <c r="B32" s="2" t="inlineStr">
        <is>
          <t>F-13-03</t>
        </is>
      </c>
      <c r="C32" s="2" t="inlineStr">
        <is>
          <t>素材库</t>
        </is>
      </c>
      <c r="D32" s="2" t="inlineStr">
        <is>
          <t>企业素材转移</t>
        </is>
      </c>
      <c r="E32" s="2" t="inlineStr">
        <is>
          <t>从个人素材库添加到企业素材库</t>
        </is>
      </c>
      <c r="F32" s="2" t="inlineStr"/>
      <c r="G32" s="2" t="inlineStr"/>
      <c r="H32" s="2" t="inlineStr"/>
      <c r="I32" s="3" t="n">
        <v>0.06900000000000001</v>
      </c>
      <c r="J32" s="3" t="n">
        <v>0</v>
      </c>
      <c r="K32" s="2" t="inlineStr">
        <is>
          <t>P1</t>
        </is>
      </c>
      <c r="L32" s="2" t="inlineStr">
        <is>
          <t>低</t>
        </is>
      </c>
      <c r="M32" s="2" t="inlineStr">
        <is>
          <t>F-13-02</t>
        </is>
      </c>
      <c r="N32" s="2" t="inlineStr"/>
      <c r="O32" s="2" t="inlineStr">
        <is>
          <t>未开始</t>
        </is>
      </c>
      <c r="P32" s="2" t="inlineStr"/>
      <c r="Q32" s="2" t="inlineStr"/>
    </row>
    <row r="33">
      <c r="A33" s="5" t="inlineStr">
        <is>
          <t>F-14</t>
        </is>
      </c>
      <c r="B33" s="5" t="inlineStr">
        <is>
          <t>F-14-01</t>
        </is>
      </c>
      <c r="C33" s="5" t="inlineStr">
        <is>
          <t>Agent对话</t>
        </is>
      </c>
      <c r="D33" s="5" t="inlineStr">
        <is>
          <t>自然语言交互</t>
        </is>
      </c>
      <c r="E33" s="5" t="inlineStr">
        <is>
          <t>自然语言输入/Agent理解指令/画布上下文实时展示/全流程自动创作(灵感发散→资料整理→内容生成→结构排版)</t>
        </is>
      </c>
      <c r="F33" s="5" t="inlineStr"/>
      <c r="G33" s="5" t="inlineStr"/>
      <c r="H33" s="5" t="inlineStr"/>
      <c r="I33" s="6" t="n">
        <v>0.343</v>
      </c>
      <c r="J33" s="6" t="n">
        <v>0</v>
      </c>
      <c r="K33" s="5" t="inlineStr">
        <is>
          <t>P0</t>
        </is>
      </c>
      <c r="L33" s="5" t="inlineStr">
        <is>
          <t>高</t>
        </is>
      </c>
      <c r="M33" s="5" t="inlineStr">
        <is>
          <t>F-03-01</t>
        </is>
      </c>
      <c r="N33" s="5" t="inlineStr">
        <is>
          <t>LLM理解准确度</t>
        </is>
      </c>
      <c r="O33" s="5" t="inlineStr">
        <is>
          <t>未开始</t>
        </is>
      </c>
      <c r="P33" s="5" t="inlineStr">
        <is>
          <t>Agent对话核心</t>
        </is>
      </c>
      <c r="Q33" s="5" t="inlineStr"/>
    </row>
    <row r="34">
      <c r="A34" s="2" t="inlineStr">
        <is>
          <t>F-14</t>
        </is>
      </c>
      <c r="B34" s="2" t="inlineStr">
        <is>
          <t>F-14-02</t>
        </is>
      </c>
      <c r="C34" s="2" t="inlineStr">
        <is>
          <t>Agent对话</t>
        </is>
      </c>
      <c r="D34" s="2" t="inlineStr">
        <is>
          <t>对话UI与建议</t>
        </is>
      </c>
      <c r="E34" s="2" t="inlineStr">
        <is>
          <t>多轮对话界面/创作建议/操作进度展示</t>
        </is>
      </c>
      <c r="F34" s="2" t="inlineStr"/>
      <c r="G34" s="2" t="inlineStr"/>
      <c r="H34" s="2" t="inlineStr"/>
      <c r="I34" s="3" t="n">
        <v>0.206</v>
      </c>
      <c r="J34" s="3" t="n">
        <v>0</v>
      </c>
      <c r="K34" s="2" t="inlineStr">
        <is>
          <t>P0</t>
        </is>
      </c>
      <c r="L34" s="2" t="inlineStr">
        <is>
          <t>中</t>
        </is>
      </c>
      <c r="M34" s="2" t="inlineStr">
        <is>
          <t>F-14-01</t>
        </is>
      </c>
      <c r="N34" s="2" t="inlineStr"/>
      <c r="O34" s="2" t="inlineStr">
        <is>
          <t>未开始</t>
        </is>
      </c>
      <c r="P34" s="2" t="inlineStr"/>
      <c r="Q34" s="2" t="inlineStr"/>
    </row>
    <row r="35">
      <c r="A35" s="5" t="inlineStr">
        <is>
          <t>F-15</t>
        </is>
      </c>
      <c r="B35" s="5" t="inlineStr">
        <is>
          <t>F-15-01</t>
        </is>
      </c>
      <c r="C35" s="5" t="inlineStr">
        <is>
          <t>Agent操作</t>
        </is>
      </c>
      <c r="D35" s="5" t="inlineStr">
        <is>
          <t>对话面板</t>
        </is>
      </c>
      <c r="E35" s="5" t="inlineStr">
        <is>
          <t>打开Agent对话框(右下角纸鹤图标)/收起对话框/动画过渡</t>
        </is>
      </c>
      <c r="F35" s="5" t="inlineStr"/>
      <c r="G35" s="5" t="inlineStr"/>
      <c r="H35" s="5" t="inlineStr"/>
      <c r="I35" s="6" t="n">
        <v>0.137</v>
      </c>
      <c r="J35" s="6" t="n">
        <v>0</v>
      </c>
      <c r="K35" s="5" t="inlineStr">
        <is>
          <t>P0</t>
        </is>
      </c>
      <c r="L35" s="5" t="inlineStr">
        <is>
          <t>低</t>
        </is>
      </c>
      <c r="M35" s="5" t="inlineStr">
        <is>
          <t>F-01-01</t>
        </is>
      </c>
      <c r="N35" s="5" t="inlineStr"/>
      <c r="O35" s="5" t="inlineStr">
        <is>
          <t>未开始</t>
        </is>
      </c>
      <c r="P35" s="5" t="inlineStr">
        <is>
          <t>Agent面板UI</t>
        </is>
      </c>
      <c r="Q35" s="5" t="inlineStr"/>
    </row>
    <row r="36">
      <c r="A36" s="2" t="inlineStr">
        <is>
          <t>F-15</t>
        </is>
      </c>
      <c r="B36" s="2" t="inlineStr">
        <is>
          <t>F-15-02</t>
        </is>
      </c>
      <c r="C36" s="2" t="inlineStr">
        <is>
          <t>Agent操作</t>
        </is>
      </c>
      <c r="D36" s="2" t="inlineStr">
        <is>
          <t>偏好与用量</t>
        </is>
      </c>
      <c r="E36" s="2" t="inlineStr">
        <is>
          <t>偏好设置(文本/图片/视频模型及分辨率选择)/查看当前对话用量(Token总量/各模型消耗量/点数消耗)</t>
        </is>
      </c>
      <c r="F36" s="2" t="inlineStr"/>
      <c r="G36" s="2" t="inlineStr"/>
      <c r="H36" s="2" t="inlineStr"/>
      <c r="I36" s="3" t="n">
        <v>0.137</v>
      </c>
      <c r="J36" s="3" t="n">
        <v>0</v>
      </c>
      <c r="K36" s="2" t="inlineStr">
        <is>
          <t>P0</t>
        </is>
      </c>
      <c r="L36" s="2" t="inlineStr">
        <is>
          <t>中</t>
        </is>
      </c>
      <c r="M36" s="2" t="inlineStr">
        <is>
          <t>F-15-01</t>
        </is>
      </c>
      <c r="N36" s="2" t="inlineStr"/>
      <c r="O36" s="2" t="inlineStr">
        <is>
          <t>未开始</t>
        </is>
      </c>
      <c r="P36" s="2" t="inlineStr"/>
      <c r="Q36" s="2" t="inlineStr"/>
    </row>
    <row r="37">
      <c r="A37" s="5" t="inlineStr">
        <is>
          <t>F-16</t>
        </is>
      </c>
      <c r="B37" s="5" t="inlineStr">
        <is>
          <t>F-16-01</t>
        </is>
      </c>
      <c r="C37" s="5" t="inlineStr">
        <is>
          <t>Skill</t>
        </is>
      </c>
      <c r="D37" s="5" t="inlineStr">
        <is>
          <t>Skill列表与选择</t>
        </is>
      </c>
      <c r="E37" s="5" t="inlineStr">
        <is>
          <t>Skill选择入口/预设Skill列表浏览/按名称描述搜索Skill/单击选中Skill添加到对话</t>
        </is>
      </c>
      <c r="F37" s="5" t="inlineStr"/>
      <c r="G37" s="5" t="inlineStr"/>
      <c r="H37" s="5" t="inlineStr"/>
      <c r="I37" s="6" t="n">
        <v>0.137</v>
      </c>
      <c r="J37" s="6" t="n">
        <v>0</v>
      </c>
      <c r="K37" s="5" t="inlineStr">
        <is>
          <t>P1</t>
        </is>
      </c>
      <c r="L37" s="5" t="inlineStr">
        <is>
          <t>低</t>
        </is>
      </c>
      <c r="M37" s="5" t="inlineStr">
        <is>
          <t>F-15-01</t>
        </is>
      </c>
      <c r="N37" s="5" t="inlineStr"/>
      <c r="O37" s="5" t="inlineStr">
        <is>
          <t>未开始</t>
        </is>
      </c>
      <c r="P37" s="5" t="inlineStr">
        <is>
          <t>Skill选择UI</t>
        </is>
      </c>
      <c r="Q37" s="5" t="inlineStr"/>
    </row>
    <row r="38">
      <c r="A38" s="2" t="inlineStr">
        <is>
          <t>F-16</t>
        </is>
      </c>
      <c r="B38" s="2" t="inlineStr">
        <is>
          <t>F-16-02</t>
        </is>
      </c>
      <c r="C38" s="2" t="inlineStr">
        <is>
          <t>Skill</t>
        </is>
      </c>
      <c r="D38" s="2" t="inlineStr">
        <is>
          <t>新建Skill</t>
        </is>
      </c>
      <c r="E38" s="2" t="inlineStr">
        <is>
          <t>空白创建(名称+描述+指令→保存)/从当前对话生成(Agent自动总结→检查修改→保存)/上传Skill文件(选择.md上传/格式校验)</t>
        </is>
      </c>
      <c r="F38" s="2" t="inlineStr"/>
      <c r="G38" s="2" t="inlineStr"/>
      <c r="H38" s="2" t="inlineStr"/>
      <c r="I38" s="3" t="n">
        <v>0.206</v>
      </c>
      <c r="J38" s="3" t="n">
        <v>0</v>
      </c>
      <c r="K38" s="2" t="inlineStr">
        <is>
          <t>P1</t>
        </is>
      </c>
      <c r="L38" s="2" t="inlineStr">
        <is>
          <t>中</t>
        </is>
      </c>
      <c r="M38" s="2" t="inlineStr">
        <is>
          <t>F-16-01</t>
        </is>
      </c>
      <c r="N38" s="2" t="inlineStr"/>
      <c r="O38" s="2" t="inlineStr">
        <is>
          <t>未开始</t>
        </is>
      </c>
      <c r="P38" s="2" t="inlineStr">
        <is>
          <t>Skill创建页</t>
        </is>
      </c>
      <c r="Q38" s="2" t="inlineStr"/>
    </row>
    <row r="39">
      <c r="A39" s="5" t="inlineStr">
        <is>
          <t>F-16</t>
        </is>
      </c>
      <c r="B39" s="5" t="inlineStr">
        <is>
          <t>F-16-03</t>
        </is>
      </c>
      <c r="C39" s="5" t="inlineStr">
        <is>
          <t>Skill</t>
        </is>
      </c>
      <c r="D39" s="5" t="inlineStr">
        <is>
          <t>Skill管理</t>
        </is>
      </c>
      <c r="E39" s="5" t="inlineStr">
        <is>
          <t>Skill管理与切换/Skill内容查看/删除Skill</t>
        </is>
      </c>
      <c r="F39" s="5" t="inlineStr"/>
      <c r="G39" s="5" t="inlineStr"/>
      <c r="H39" s="5" t="inlineStr"/>
      <c r="I39" s="6" t="n">
        <v>0.06900000000000001</v>
      </c>
      <c r="J39" s="6" t="n">
        <v>0</v>
      </c>
      <c r="K39" s="5" t="inlineStr">
        <is>
          <t>P1</t>
        </is>
      </c>
      <c r="L39" s="5" t="inlineStr">
        <is>
          <t>低</t>
        </is>
      </c>
      <c r="M39" s="5" t="inlineStr">
        <is>
          <t>F-16-02</t>
        </is>
      </c>
      <c r="N39" s="5" t="inlineStr"/>
      <c r="O39" s="5" t="inlineStr">
        <is>
          <t>未开始</t>
        </is>
      </c>
      <c r="P39" s="5" t="inlineStr"/>
      <c r="Q39" s="5" t="inlineStr"/>
    </row>
    <row r="40">
      <c r="A40" s="2" t="inlineStr">
        <is>
          <t>F-17</t>
        </is>
      </c>
      <c r="B40" s="2" t="inlineStr">
        <is>
          <t>F-17-01</t>
        </is>
      </c>
      <c r="C40" s="2" t="inlineStr">
        <is>
          <t>对话历史</t>
        </is>
      </c>
      <c r="D40" s="2" t="inlineStr">
        <is>
          <t>对话历史页</t>
        </is>
      </c>
      <c r="E40" s="2" t="inlineStr">
        <is>
          <t>查看当前画布对话历史/查看其他画布对话历史/新建对话</t>
        </is>
      </c>
      <c r="F40" s="2" t="inlineStr"/>
      <c r="G40" s="2" t="inlineStr"/>
      <c r="H40" s="2" t="inlineStr"/>
      <c r="I40" s="3" t="n">
        <v>0.137</v>
      </c>
      <c r="J40" s="3" t="n">
        <v>0</v>
      </c>
      <c r="K40" s="2" t="inlineStr">
        <is>
          <t>P1</t>
        </is>
      </c>
      <c r="L40" s="2" t="inlineStr">
        <is>
          <t>低</t>
        </is>
      </c>
      <c r="M40" s="2" t="inlineStr">
        <is>
          <t>F-15-01</t>
        </is>
      </c>
      <c r="N40" s="2" t="inlineStr"/>
      <c r="O40" s="2" t="inlineStr">
        <is>
          <t>未开始</t>
        </is>
      </c>
      <c r="P40" s="2" t="inlineStr">
        <is>
          <t>对话历史页</t>
        </is>
      </c>
      <c r="Q40" s="2" t="inlineStr"/>
    </row>
    <row r="41">
      <c r="A41" s="5" t="inlineStr">
        <is>
          <t>F-17</t>
        </is>
      </c>
      <c r="B41" s="5" t="inlineStr">
        <is>
          <t>F-17-02</t>
        </is>
      </c>
      <c r="C41" s="5" t="inlineStr">
        <is>
          <t>对话历史</t>
        </is>
      </c>
      <c r="D41" s="5" t="inlineStr">
        <is>
          <t>会话片段保存</t>
        </is>
      </c>
      <c r="E41" s="5" t="inlineStr">
        <is>
          <t>保存会话片段(保存到可复用对话历史)/查看可复用对话历史/复用片段到当前对话</t>
        </is>
      </c>
      <c r="F41" s="5" t="inlineStr"/>
      <c r="G41" s="5" t="inlineStr"/>
      <c r="H41" s="5" t="inlineStr"/>
      <c r="I41" s="6" t="n">
        <v>0.137</v>
      </c>
      <c r="J41" s="6" t="n">
        <v>0</v>
      </c>
      <c r="K41" s="5" t="inlineStr">
        <is>
          <t>P1</t>
        </is>
      </c>
      <c r="L41" s="5" t="inlineStr">
        <is>
          <t>中</t>
        </is>
      </c>
      <c r="M41" s="5" t="inlineStr">
        <is>
          <t>F-17-01</t>
        </is>
      </c>
      <c r="N41" s="5" t="inlineStr"/>
      <c r="O41" s="5" t="inlineStr">
        <is>
          <t>未开始</t>
        </is>
      </c>
      <c r="P41" s="5" t="inlineStr"/>
      <c r="Q41" s="5" t="inlineStr"/>
    </row>
    <row r="42">
      <c r="A42" s="2" t="inlineStr">
        <is>
          <t>F-18</t>
        </is>
      </c>
      <c r="B42" s="2" t="inlineStr">
        <is>
          <t>F-18-01</t>
        </is>
      </c>
      <c r="C42" s="2" t="inlineStr">
        <is>
          <t>记忆系统</t>
        </is>
      </c>
      <c r="D42" s="2" t="inlineStr">
        <is>
          <t>记忆管理UI</t>
        </is>
      </c>
      <c r="E42" s="2" t="inlineStr">
        <is>
          <t>短期记忆展示(当前session上下文)/长期记忆查看列表/删除长期记忆/记忆偏好标签</t>
        </is>
      </c>
      <c r="F42" s="2" t="inlineStr"/>
      <c r="G42" s="2" t="inlineStr"/>
      <c r="H42" s="2" t="inlineStr"/>
      <c r="I42" s="3" t="n">
        <v>0.137</v>
      </c>
      <c r="J42" s="3" t="n">
        <v>0</v>
      </c>
      <c r="K42" s="2" t="inlineStr">
        <is>
          <t>P2</t>
        </is>
      </c>
      <c r="L42" s="2" t="inlineStr">
        <is>
          <t>中</t>
        </is>
      </c>
      <c r="M42" s="2" t="inlineStr">
        <is>
          <t>F-17-01</t>
        </is>
      </c>
      <c r="N42" s="2" t="inlineStr"/>
      <c r="O42" s="2" t="inlineStr">
        <is>
          <t>未开始</t>
        </is>
      </c>
      <c r="P42" s="2" t="inlineStr">
        <is>
          <t>记忆管理页</t>
        </is>
      </c>
      <c r="Q42" s="2" t="inlineStr"/>
    </row>
    <row r="43">
      <c r="A43" s="5" t="inlineStr">
        <is>
          <t>F-19</t>
        </is>
      </c>
      <c r="B43" s="5" t="inlineStr">
        <is>
          <t>F-19-01</t>
        </is>
      </c>
      <c r="C43" s="5" t="inlineStr">
        <is>
          <t>订阅菜单</t>
        </is>
      </c>
      <c r="D43" s="5" t="inlineStr">
        <is>
          <t>订阅菜单页</t>
        </is>
      </c>
      <c r="E43" s="5" t="inlineStr">
        <is>
          <t>查看用户名/ID/个人点数/总可用点数/个人订阅方案展示/订阅个人方案/购买点数/企业方案优势展示/获取顾问联系方式/界面设置(亮暗主题/中英文)</t>
        </is>
      </c>
      <c r="F43" s="5" t="inlineStr"/>
      <c r="G43" s="5" t="inlineStr"/>
      <c r="H43" s="5" t="inlineStr"/>
      <c r="I43" s="6" t="n">
        <v>0.274</v>
      </c>
      <c r="J43" s="6" t="n">
        <v>0</v>
      </c>
      <c r="K43" s="5" t="inlineStr">
        <is>
          <t>P0</t>
        </is>
      </c>
      <c r="L43" s="5" t="inlineStr">
        <is>
          <t>中</t>
        </is>
      </c>
      <c r="M43" s="5" t="inlineStr">
        <is>
          <t>F-01-01</t>
        </is>
      </c>
      <c r="N43" s="5" t="inlineStr"/>
      <c r="O43" s="5" t="inlineStr">
        <is>
          <t>未开始</t>
        </is>
      </c>
      <c r="P43" s="5" t="inlineStr">
        <is>
          <t>订阅菜单页</t>
        </is>
      </c>
      <c r="Q43" s="5" t="inlineStr"/>
    </row>
    <row r="44">
      <c r="A44" s="2" t="inlineStr">
        <is>
          <t>F-20</t>
        </is>
      </c>
      <c r="B44" s="2" t="inlineStr">
        <is>
          <t>F-20-01</t>
        </is>
      </c>
      <c r="C44" s="2" t="inlineStr">
        <is>
          <t>分享画布</t>
        </is>
      </c>
      <c r="D44" s="2" t="inlineStr">
        <is>
          <t>画布分享功能</t>
        </is>
      </c>
      <c r="E44" s="2" t="inlineStr">
        <is>
          <t>生成共享链接/管理共享状态(开启/关闭)/上传到创意工坊</t>
        </is>
      </c>
      <c r="F44" s="2" t="inlineStr"/>
      <c r="G44" s="2" t="inlineStr"/>
      <c r="H44" s="2" t="inlineStr"/>
      <c r="I44" s="3" t="n">
        <v>0.137</v>
      </c>
      <c r="J44" s="3" t="n">
        <v>0</v>
      </c>
      <c r="K44" s="2" t="inlineStr">
        <is>
          <t>P1</t>
        </is>
      </c>
      <c r="L44" s="2" t="inlineStr">
        <is>
          <t>低</t>
        </is>
      </c>
      <c r="M44" s="2" t="inlineStr">
        <is>
          <t>F-01-01</t>
        </is>
      </c>
      <c r="N44" s="2" t="inlineStr"/>
      <c r="O44" s="2" t="inlineStr">
        <is>
          <t>未开始</t>
        </is>
      </c>
      <c r="P44" s="2" t="inlineStr">
        <is>
          <t>分享组件</t>
        </is>
      </c>
      <c r="Q44" s="2" t="inlineStr"/>
    </row>
    <row r="45">
      <c r="A45" s="5" t="inlineStr">
        <is>
          <t>F-21</t>
        </is>
      </c>
      <c r="B45" s="5" t="inlineStr">
        <is>
          <t>F-21-01</t>
        </is>
      </c>
      <c r="C45" s="5" t="inlineStr">
        <is>
          <t>奖励中心</t>
        </is>
      </c>
      <c r="D45" s="5" t="inlineStr">
        <is>
          <t>奖励中心页</t>
        </is>
      </c>
      <c r="E45" s="5" t="inlineStr">
        <is>
          <t>每日签到按钮/签到状态展示/查看每日任务列表和完成状态/领取奖励</t>
        </is>
      </c>
      <c r="F45" s="5" t="inlineStr"/>
      <c r="G45" s="5" t="inlineStr"/>
      <c r="H45" s="5" t="inlineStr"/>
      <c r="I45" s="6" t="n">
        <v>0.137</v>
      </c>
      <c r="J45" s="6" t="n">
        <v>0</v>
      </c>
      <c r="K45" s="5" t="inlineStr">
        <is>
          <t>P1</t>
        </is>
      </c>
      <c r="L45" s="5" t="inlineStr">
        <is>
          <t>低</t>
        </is>
      </c>
      <c r="M45" s="5" t="inlineStr">
        <is>
          <t>F-01-01</t>
        </is>
      </c>
      <c r="N45" s="5" t="inlineStr"/>
      <c r="O45" s="5" t="inlineStr">
        <is>
          <t>未开始</t>
        </is>
      </c>
      <c r="P45" s="5" t="inlineStr">
        <is>
          <t>奖励中心页</t>
        </is>
      </c>
      <c r="Q45" s="5" t="inlineStr"/>
    </row>
    <row r="46">
      <c r="A46" s="2" t="inlineStr">
        <is>
          <t>F-22</t>
        </is>
      </c>
      <c r="B46" s="2" t="inlineStr">
        <is>
          <t>F-22-01</t>
        </is>
      </c>
      <c r="C46" s="2" t="inlineStr">
        <is>
          <t>邀请中心</t>
        </is>
      </c>
      <c r="D46" s="2" t="inlineStr">
        <is>
          <t>邀请中心页</t>
        </is>
      </c>
      <c r="E46" s="2" t="inlineStr">
        <is>
          <t>查看我的邀请码和邀请链接/查看邀请人数/邀请成功记录/输入邀请码接受邀请/查看指南/反馈建议</t>
        </is>
      </c>
      <c r="F46" s="2" t="inlineStr"/>
      <c r="G46" s="2" t="inlineStr"/>
      <c r="H46" s="2" t="inlineStr"/>
      <c r="I46" s="3" t="n">
        <v>0.206</v>
      </c>
      <c r="J46" s="3" t="n">
        <v>0</v>
      </c>
      <c r="K46" s="2" t="inlineStr">
        <is>
          <t>P1</t>
        </is>
      </c>
      <c r="L46" s="2" t="inlineStr">
        <is>
          <t>低</t>
        </is>
      </c>
      <c r="M46" s="2" t="inlineStr">
        <is>
          <t>F-02-01</t>
        </is>
      </c>
      <c r="N46" s="2" t="inlineStr"/>
      <c r="O46" s="2" t="inlineStr">
        <is>
          <t>未开始</t>
        </is>
      </c>
      <c r="P46" s="2" t="inlineStr">
        <is>
          <t>邀请中心页</t>
        </is>
      </c>
      <c r="Q46" s="2" t="inlineStr"/>
    </row>
    <row r="47">
      <c r="A47" s="5" t="inlineStr">
        <is>
          <t>F-23</t>
        </is>
      </c>
      <c r="B47" s="5" t="inlineStr">
        <is>
          <t>F-23-01</t>
        </is>
      </c>
      <c r="C47" s="5" t="inlineStr">
        <is>
          <t>历史记录</t>
        </is>
      </c>
      <c r="D47" s="5" t="inlineStr">
        <is>
          <t>历史记录页</t>
        </is>
      </c>
      <c r="E47" s="5" t="inlineStr">
        <is>
          <t>历史列表展示(时间/缩略图/模态/模型/点数/提示词)/按提示词搜索/按模型搜索/按模态筛选/按状态筛选/按时间范围筛选/重置/刷新</t>
        </is>
      </c>
      <c r="F47" s="5" t="inlineStr"/>
      <c r="G47" s="5" t="inlineStr"/>
      <c r="H47" s="5" t="inlineStr"/>
      <c r="I47" s="6" t="n">
        <v>0.274</v>
      </c>
      <c r="J47" s="6" t="n">
        <v>0</v>
      </c>
      <c r="K47" s="5" t="inlineStr">
        <is>
          <t>P0</t>
        </is>
      </c>
      <c r="L47" s="5" t="inlineStr">
        <is>
          <t>中</t>
        </is>
      </c>
      <c r="M47" s="5" t="inlineStr">
        <is>
          <t>F-01-01</t>
        </is>
      </c>
      <c r="N47" s="5" t="inlineStr"/>
      <c r="O47" s="5" t="inlineStr">
        <is>
          <t>未开始</t>
        </is>
      </c>
      <c r="P47" s="5" t="inlineStr">
        <is>
          <t>历史记录页</t>
        </is>
      </c>
      <c r="Q47" s="5" t="inlineStr"/>
    </row>
    <row r="48">
      <c r="A48" s="2" t="inlineStr">
        <is>
          <t>F-23</t>
        </is>
      </c>
      <c r="B48" s="2" t="inlineStr">
        <is>
          <t>F-23-02</t>
        </is>
      </c>
      <c r="C48" s="2" t="inlineStr">
        <is>
          <t>历史记录</t>
        </is>
      </c>
      <c r="D48" s="2" t="inlineStr">
        <is>
          <t>历史记录操作</t>
        </is>
      </c>
      <c r="E48" s="2" t="inlineStr">
        <is>
          <t>复制提示词/跳转对应画布/查看详情</t>
        </is>
      </c>
      <c r="F48" s="2" t="inlineStr"/>
      <c r="G48" s="2" t="inlineStr"/>
      <c r="H48" s="2" t="inlineStr"/>
      <c r="I48" s="3" t="n">
        <v>0.06900000000000001</v>
      </c>
      <c r="J48" s="3" t="n">
        <v>0</v>
      </c>
      <c r="K48" s="2" t="inlineStr">
        <is>
          <t>P0</t>
        </is>
      </c>
      <c r="L48" s="2" t="inlineStr">
        <is>
          <t>低</t>
        </is>
      </c>
      <c r="M48" s="2" t="inlineStr">
        <is>
          <t>F-23-01</t>
        </is>
      </c>
      <c r="N48" s="2" t="inlineStr"/>
      <c r="O48" s="2" t="inlineStr">
        <is>
          <t>未开始</t>
        </is>
      </c>
      <c r="P48" s="2" t="inlineStr"/>
      <c r="Q48" s="2" t="inlineStr"/>
    </row>
    <row r="49">
      <c r="A49" s="5" t="inlineStr">
        <is>
          <t>F-24</t>
        </is>
      </c>
      <c r="B49" s="5" t="inlineStr">
        <is>
          <t>F-24-01</t>
        </is>
      </c>
      <c r="C49" s="5" t="inlineStr">
        <is>
          <t>创意广场</t>
        </is>
      </c>
      <c r="D49" s="5" t="inlineStr">
        <is>
          <t>创意广场页</t>
        </is>
      </c>
      <c r="E49" s="5" t="inlineStr">
        <is>
          <t>浏览站内公开画布作品/成品预览(上下切换)/查看画布制作过程(节点流程图)/灵感发现/搜索</t>
        </is>
      </c>
      <c r="F49" s="5" t="inlineStr"/>
      <c r="G49" s="5" t="inlineStr"/>
      <c r="H49" s="5" t="inlineStr"/>
      <c r="I49" s="6" t="n">
        <v>0.274</v>
      </c>
      <c r="J49" s="6" t="n">
        <v>0</v>
      </c>
      <c r="K49" s="5" t="inlineStr">
        <is>
          <t>P1</t>
        </is>
      </c>
      <c r="L49" s="5" t="inlineStr">
        <is>
          <t>中</t>
        </is>
      </c>
      <c r="M49" s="5" t="inlineStr">
        <is>
          <t>F-01-01</t>
        </is>
      </c>
      <c r="N49" s="5" t="inlineStr"/>
      <c r="O49" s="5" t="inlineStr">
        <is>
          <t>未开始</t>
        </is>
      </c>
      <c r="P49" s="5" t="inlineStr">
        <is>
          <t>创意广场页</t>
        </is>
      </c>
      <c r="Q49" s="5" t="inlineStr"/>
    </row>
    <row r="50">
      <c r="A50" s="2" t="inlineStr">
        <is>
          <t>F-24</t>
        </is>
      </c>
      <c r="B50" s="2" t="inlineStr">
        <is>
          <t>F-24-02</t>
        </is>
      </c>
      <c r="C50" s="2" t="inlineStr">
        <is>
          <t>创意广场</t>
        </is>
      </c>
      <c r="D50" s="2" t="inlineStr">
        <is>
          <t>克隆与全屏</t>
        </is>
      </c>
      <c r="E50" s="2" t="inlineStr">
        <is>
          <t>一键克隆画布到个人工作区/全屏观看/删除自己上传的作品</t>
        </is>
      </c>
      <c r="F50" s="2" t="inlineStr"/>
      <c r="G50" s="2" t="inlineStr"/>
      <c r="H50" s="2" t="inlineStr"/>
      <c r="I50" s="3" t="n">
        <v>0.137</v>
      </c>
      <c r="J50" s="3" t="n">
        <v>0</v>
      </c>
      <c r="K50" s="2" t="inlineStr">
        <is>
          <t>P1</t>
        </is>
      </c>
      <c r="L50" s="2" t="inlineStr">
        <is>
          <t>低</t>
        </is>
      </c>
      <c r="M50" s="2" t="inlineStr">
        <is>
          <t>F-24-01</t>
        </is>
      </c>
      <c r="N50" s="2" t="inlineStr"/>
      <c r="O50" s="2" t="inlineStr">
        <is>
          <t>未开始</t>
        </is>
      </c>
      <c r="P50" s="2" t="inlineStr"/>
      <c r="Q50" s="2" t="inlineStr"/>
    </row>
    <row r="51">
      <c r="A51" s="5" t="inlineStr">
        <is>
          <t>F-25</t>
        </is>
      </c>
      <c r="B51" s="5" t="inlineStr">
        <is>
          <t>F-25-01</t>
        </is>
      </c>
      <c r="C51" s="5" t="inlineStr">
        <is>
          <t>个人中心</t>
        </is>
      </c>
      <c r="D51" s="5" t="inlineStr">
        <is>
          <t>个人中心页</t>
        </is>
      </c>
      <c r="E51" s="5" t="inlineStr">
        <is>
          <t>账户身份信息/当前剩余点数/点数消耗情况总览(图表)/每日签到入口/界面设置/退出登录</t>
        </is>
      </c>
      <c r="F51" s="5" t="inlineStr"/>
      <c r="G51" s="5" t="inlineStr"/>
      <c r="H51" s="5" t="inlineStr"/>
      <c r="I51" s="6" t="n">
        <v>0.206</v>
      </c>
      <c r="J51" s="6" t="n">
        <v>0</v>
      </c>
      <c r="K51" s="5" t="inlineStr">
        <is>
          <t>P0</t>
        </is>
      </c>
      <c r="L51" s="5" t="inlineStr">
        <is>
          <t>低</t>
        </is>
      </c>
      <c r="M51" s="5" t="inlineStr">
        <is>
          <t>F-01-01</t>
        </is>
      </c>
      <c r="N51" s="5" t="inlineStr"/>
      <c r="O51" s="5" t="inlineStr">
        <is>
          <t>未开始</t>
        </is>
      </c>
      <c r="P51" s="5" t="inlineStr">
        <is>
          <t>个人中心页</t>
        </is>
      </c>
      <c r="Q51" s="5" t="inlineStr"/>
    </row>
    <row r="52">
      <c r="A52" s="2" t="inlineStr">
        <is>
          <t>F-26</t>
        </is>
      </c>
      <c r="B52" s="2" t="inlineStr">
        <is>
          <t>F-26-01</t>
        </is>
      </c>
      <c r="C52" s="2" t="inlineStr">
        <is>
          <t>企业邀请</t>
        </is>
      </c>
      <c r="D52" s="2" t="inlineStr">
        <is>
          <t>企业邀请页</t>
        </is>
      </c>
      <c r="E52" s="2" t="inlineStr">
        <is>
          <t>企业名称/总点数/可分配点数展示/复制企业邀请链接/成员通过链接加入企业</t>
        </is>
      </c>
      <c r="F52" s="2" t="inlineStr"/>
      <c r="G52" s="2" t="inlineStr"/>
      <c r="H52" s="2" t="inlineStr"/>
      <c r="I52" s="3" t="n">
        <v>0.137</v>
      </c>
      <c r="J52" s="3" t="n">
        <v>0</v>
      </c>
      <c r="K52" s="2" t="inlineStr">
        <is>
          <t>P1</t>
        </is>
      </c>
      <c r="L52" s="2" t="inlineStr">
        <is>
          <t>低</t>
        </is>
      </c>
      <c r="M52" s="2" t="inlineStr">
        <is>
          <t>F-01-01</t>
        </is>
      </c>
      <c r="N52" s="2" t="inlineStr"/>
      <c r="O52" s="2" t="inlineStr">
        <is>
          <t>未开始</t>
        </is>
      </c>
      <c r="P52" s="2" t="inlineStr">
        <is>
          <t>企业邀请页</t>
        </is>
      </c>
      <c r="Q52" s="2" t="inlineStr"/>
    </row>
    <row r="53">
      <c r="A53" s="5" t="inlineStr">
        <is>
          <t>F-27</t>
        </is>
      </c>
      <c r="B53" s="5" t="inlineStr">
        <is>
          <t>F-27-01</t>
        </is>
      </c>
      <c r="C53" s="5" t="inlineStr">
        <is>
          <t>成员管理</t>
        </is>
      </c>
      <c r="D53" s="5" t="inlineStr">
        <is>
          <t>成员管理页</t>
        </is>
      </c>
      <c r="E53" s="5" t="inlineStr">
        <is>
          <t>团队成员列表/选择特定成员/为成员分配点数(弹窗输入)/回收成员点数(弹窗确认)/将成员移出企业(二次确认)</t>
        </is>
      </c>
      <c r="F53" s="5" t="inlineStr"/>
      <c r="G53" s="5" t="inlineStr"/>
      <c r="H53" s="5" t="inlineStr"/>
      <c r="I53" s="6" t="n">
        <v>0.206</v>
      </c>
      <c r="J53" s="6" t="n">
        <v>0</v>
      </c>
      <c r="K53" s="5" t="inlineStr">
        <is>
          <t>P1</t>
        </is>
      </c>
      <c r="L53" s="5" t="inlineStr">
        <is>
          <t>中</t>
        </is>
      </c>
      <c r="M53" s="5" t="inlineStr">
        <is>
          <t>F-26-01</t>
        </is>
      </c>
      <c r="N53" s="5" t="inlineStr"/>
      <c r="O53" s="5" t="inlineStr">
        <is>
          <t>未开始</t>
        </is>
      </c>
      <c r="P53" s="5" t="inlineStr">
        <is>
          <t>成员管理页</t>
        </is>
      </c>
      <c r="Q53" s="5" t="inlineStr"/>
    </row>
    <row r="54">
      <c r="A54" s="2" t="inlineStr">
        <is>
          <t>F-28</t>
        </is>
      </c>
      <c r="B54" s="2" t="inlineStr">
        <is>
          <t>F-28-01</t>
        </is>
      </c>
      <c r="C54" s="2" t="inlineStr">
        <is>
          <t>企业素材库</t>
        </is>
      </c>
      <c r="D54" s="2" t="inlineStr">
        <is>
          <t>企业素材库页</t>
        </is>
      </c>
      <c r="E54" s="2" t="inlineStr">
        <is>
          <t>查看企业素材库内容/团队素材共享展示/从个人添加至企业素材库/分配记录统一管理入口</t>
        </is>
      </c>
      <c r="F54" s="2" t="inlineStr"/>
      <c r="G54" s="2" t="inlineStr"/>
      <c r="H54" s="2" t="inlineStr"/>
      <c r="I54" s="3" t="n">
        <v>0.137</v>
      </c>
      <c r="J54" s="3" t="n">
        <v>0</v>
      </c>
      <c r="K54" s="2" t="inlineStr">
        <is>
          <t>P1</t>
        </is>
      </c>
      <c r="L54" s="2" t="inlineStr">
        <is>
          <t>低</t>
        </is>
      </c>
      <c r="M54" s="2" t="inlineStr">
        <is>
          <t>F-13-02</t>
        </is>
      </c>
      <c r="N54" s="2" t="inlineStr"/>
      <c r="O54" s="2" t="inlineStr">
        <is>
          <t>未开始</t>
        </is>
      </c>
      <c r="P54" s="2" t="inlineStr">
        <is>
          <t>企业素材库页</t>
        </is>
      </c>
      <c r="Q54" s="2" t="inlineStr"/>
    </row>
    <row r="55">
      <c r="A55" s="5" t="inlineStr">
        <is>
          <t>F-29</t>
        </is>
      </c>
      <c r="B55" s="5" t="inlineStr">
        <is>
          <t>F-29-01</t>
        </is>
      </c>
      <c r="C55" s="5" t="inlineStr">
        <is>
          <t>分配记录</t>
        </is>
      </c>
      <c r="D55" s="5" t="inlineStr">
        <is>
          <t>分配记录页</t>
        </is>
      </c>
      <c r="E55" s="5" t="inlineStr">
        <is>
          <t>查看分配时间/分配类型(分配/回收)/点数数值/操作后账户余额/搜索/导出CSV文件</t>
        </is>
      </c>
      <c r="F55" s="5" t="inlineStr"/>
      <c r="G55" s="5" t="inlineStr"/>
      <c r="H55" s="5" t="inlineStr"/>
      <c r="I55" s="6" t="n">
        <v>0.137</v>
      </c>
      <c r="J55" s="6" t="n">
        <v>0</v>
      </c>
      <c r="K55" s="5" t="inlineStr">
        <is>
          <t>P1</t>
        </is>
      </c>
      <c r="L55" s="5" t="inlineStr">
        <is>
          <t>低</t>
        </is>
      </c>
      <c r="M55" s="5" t="inlineStr">
        <is>
          <t>F-27-01</t>
        </is>
      </c>
      <c r="N55" s="5" t="inlineStr"/>
      <c r="O55" s="5" t="inlineStr">
        <is>
          <t>未开始</t>
        </is>
      </c>
      <c r="P55" s="5" t="inlineStr">
        <is>
          <t>分配记录页</t>
        </is>
      </c>
      <c r="Q55" s="5" t="inlineStr"/>
    </row>
    <row r="56">
      <c r="A56" s="2" t="inlineStr">
        <is>
          <t>F-30</t>
        </is>
      </c>
      <c r="B56" s="2" t="inlineStr">
        <is>
          <t>F-30-01</t>
        </is>
      </c>
      <c r="C56" s="2" t="inlineStr">
        <is>
          <t>点数充值</t>
        </is>
      </c>
      <c r="D56" s="2" t="inlineStr">
        <is>
          <t>点数充值页</t>
        </is>
      </c>
      <c r="E56" s="2" t="inlineStr">
        <is>
          <t>企业点数充值页面/套餐选择/支付流程</t>
        </is>
      </c>
      <c r="F56" s="2" t="inlineStr"/>
      <c r="G56" s="2" t="inlineStr"/>
      <c r="H56" s="2" t="inlineStr"/>
      <c r="I56" s="3" t="n">
        <v>0.137</v>
      </c>
      <c r="J56" s="3" t="n">
        <v>0</v>
      </c>
      <c r="K56" s="2" t="inlineStr">
        <is>
          <t>P1</t>
        </is>
      </c>
      <c r="L56" s="2" t="inlineStr">
        <is>
          <t>低</t>
        </is>
      </c>
      <c r="M56" s="2" t="inlineStr">
        <is>
          <t>F-19-01</t>
        </is>
      </c>
      <c r="N56" s="2" t="inlineStr"/>
      <c r="O56" s="2" t="inlineStr">
        <is>
          <t>未开始</t>
        </is>
      </c>
      <c r="P56" s="2" t="inlineStr">
        <is>
          <t>充值页面</t>
        </is>
      </c>
      <c r="Q56" s="2" t="inlineStr"/>
    </row>
    <row r="57">
      <c r="A57" s="5" t="inlineStr">
        <is>
          <t>F-31</t>
        </is>
      </c>
      <c r="B57" s="5" t="inlineStr">
        <is>
          <t>F-31-01</t>
        </is>
      </c>
      <c r="C57" s="5" t="inlineStr">
        <is>
          <t>用量统计</t>
        </is>
      </c>
      <c r="D57" s="5" t="inlineStr">
        <is>
          <t>用量统计页</t>
        </is>
      </c>
      <c r="E57" s="5" t="inlineStr">
        <is>
          <t>企业用量/个人用量切换查看/按时间范围筛选/点数消耗可视化图表</t>
        </is>
      </c>
      <c r="F57" s="5" t="inlineStr"/>
      <c r="G57" s="5" t="inlineStr"/>
      <c r="H57" s="5" t="inlineStr"/>
      <c r="I57" s="6" t="n">
        <v>0.206</v>
      </c>
      <c r="J57" s="6" t="n">
        <v>0</v>
      </c>
      <c r="K57" s="5" t="inlineStr">
        <is>
          <t>P1</t>
        </is>
      </c>
      <c r="L57" s="5" t="inlineStr">
        <is>
          <t>中</t>
        </is>
      </c>
      <c r="M57" s="5" t="inlineStr">
        <is>
          <t>F-29-01</t>
        </is>
      </c>
      <c r="N57" s="5" t="inlineStr"/>
      <c r="O57" s="5" t="inlineStr">
        <is>
          <t>未开始</t>
        </is>
      </c>
      <c r="P57" s="5" t="inlineStr">
        <is>
          <t>用量统计页</t>
        </is>
      </c>
      <c r="Q57" s="5" t="inlineStr"/>
    </row>
    <row r="58">
      <c r="A58" s="2" t="inlineStr">
        <is>
          <t>F-32</t>
        </is>
      </c>
      <c r="B58" s="2" t="inlineStr">
        <is>
          <t>F-32-01</t>
        </is>
      </c>
      <c r="C58" s="2" t="inlineStr">
        <is>
          <t>账户设置</t>
        </is>
      </c>
      <c r="D58" s="2" t="inlineStr">
        <is>
          <t>账户设置页</t>
        </is>
      </c>
      <c r="E58" s="2" t="inlineStr">
        <is>
          <t>修改企业名称/解散企业(二次确认弹窗+权限校验)</t>
        </is>
      </c>
      <c r="F58" s="2" t="inlineStr"/>
      <c r="G58" s="2" t="inlineStr"/>
      <c r="H58" s="2" t="inlineStr"/>
      <c r="I58" s="3" t="n">
        <v>0.137</v>
      </c>
      <c r="J58" s="3" t="n">
        <v>0</v>
      </c>
      <c r="K58" s="2" t="inlineStr">
        <is>
          <t>P1</t>
        </is>
      </c>
      <c r="L58" s="2" t="inlineStr">
        <is>
          <t>低</t>
        </is>
      </c>
      <c r="M58" s="2" t="inlineStr">
        <is>
          <t>F-26-01</t>
        </is>
      </c>
      <c r="N58" s="2" t="inlineStr"/>
      <c r="O58" s="2" t="inlineStr">
        <is>
          <t>未开始</t>
        </is>
      </c>
      <c r="P58" s="2" t="inlineStr">
        <is>
          <t>账户设置页</t>
        </is>
      </c>
      <c r="Q58" s="2" t="inlineStr"/>
    </row>
    <row r="59">
      <c r="A59" s="5" t="inlineStr">
        <is>
          <t>F-33</t>
        </is>
      </c>
      <c r="B59" s="5" t="inlineStr">
        <is>
          <t>F-33-01</t>
        </is>
      </c>
      <c r="C59" s="5" t="inlineStr">
        <is>
          <t>公告查看</t>
        </is>
      </c>
      <c r="D59" s="5" t="inlineStr">
        <is>
          <t>公告查看</t>
        </is>
      </c>
      <c r="E59" s="5" t="inlineStr">
        <is>
          <t>查看公告列表/公告详情弹窗/已读未读标记</t>
        </is>
      </c>
      <c r="F59" s="5" t="inlineStr"/>
      <c r="G59" s="5" t="inlineStr"/>
      <c r="H59" s="5" t="inlineStr"/>
      <c r="I59" s="6" t="n">
        <v>0.06900000000000001</v>
      </c>
      <c r="J59" s="6" t="n">
        <v>0</v>
      </c>
      <c r="K59" s="5" t="inlineStr">
        <is>
          <t>P1</t>
        </is>
      </c>
      <c r="L59" s="5" t="inlineStr">
        <is>
          <t>低</t>
        </is>
      </c>
      <c r="M59" s="5" t="inlineStr">
        <is>
          <t>F-01-01</t>
        </is>
      </c>
      <c r="N59" s="5" t="inlineStr"/>
      <c r="O59" s="5" t="inlineStr">
        <is>
          <t>未开始</t>
        </is>
      </c>
      <c r="P59" s="5" t="inlineStr">
        <is>
          <t>公告组件</t>
        </is>
      </c>
      <c r="Q59" s="5" t="inlineStr"/>
    </row>
    <row r="60">
      <c r="A60" s="2" t="inlineStr">
        <is>
          <t>F-34</t>
        </is>
      </c>
      <c r="B60" s="2" t="inlineStr">
        <is>
          <t>F-34-01</t>
        </is>
      </c>
      <c r="C60" s="2" t="inlineStr">
        <is>
          <t>通用状态</t>
        </is>
      </c>
      <c r="D60" s="2" t="inlineStr">
        <is>
          <t>生成状态处理</t>
        </is>
      </c>
      <c r="E60" s="2" t="inlineStr">
        <is>
          <t>生成状态展示(排队/执行/成功/失败)/失败原因展示/重试按钮/取消按钮/点数不足提示/充值入口/必填参数校验提示</t>
        </is>
      </c>
      <c r="F60" s="2" t="inlineStr"/>
      <c r="G60" s="2" t="inlineStr"/>
      <c r="H60" s="2" t="inlineStr"/>
      <c r="I60" s="3" t="n">
        <v>0.206</v>
      </c>
      <c r="J60" s="3" t="n">
        <v>0</v>
      </c>
      <c r="K60" s="2" t="inlineStr">
        <is>
          <t>P0</t>
        </is>
      </c>
      <c r="L60" s="2" t="inlineStr">
        <is>
          <t>中</t>
        </is>
      </c>
      <c r="M60" s="2" t="inlineStr">
        <is>
          <t>F-07-01</t>
        </is>
      </c>
      <c r="N60" s="2" t="inlineStr"/>
      <c r="O60" s="2" t="inlineStr">
        <is>
          <t>未开始</t>
        </is>
      </c>
      <c r="P60" s="2" t="inlineStr"/>
      <c r="Q60" s="2" t="inlineStr"/>
    </row>
    <row r="61">
      <c r="A61" s="5" t="inlineStr">
        <is>
          <t>B-01</t>
        </is>
      </c>
      <c r="B61" s="5" t="inlineStr">
        <is>
          <t>B-01-01</t>
        </is>
      </c>
      <c r="C61" s="5" t="inlineStr">
        <is>
          <t>画布服务</t>
        </is>
      </c>
      <c r="D61" s="5" t="inlineStr">
        <is>
          <t>画布CRUD API</t>
        </is>
      </c>
      <c r="E61" s="5" t="inlineStr">
        <is>
          <t>画布创建/查询(详情)/更新/删除API/权限校验(仅所有者)/列表(分页/搜索)/缩略图生成</t>
        </is>
      </c>
      <c r="F61" s="5" t="inlineStr"/>
      <c r="G61" s="5" t="inlineStr"/>
      <c r="H61" s="5" t="inlineStr"/>
      <c r="I61" s="6" t="n">
        <v>0.274</v>
      </c>
      <c r="J61" s="6" t="n">
        <v>0</v>
      </c>
      <c r="K61" s="5" t="inlineStr">
        <is>
          <t>P0</t>
        </is>
      </c>
      <c r="L61" s="5" t="inlineStr">
        <is>
          <t>中</t>
        </is>
      </c>
      <c r="M61" s="5" t="inlineStr"/>
      <c r="N61" s="5" t="inlineStr"/>
      <c r="O61" s="5" t="inlineStr">
        <is>
          <t>未开始</t>
        </is>
      </c>
      <c r="P61" s="5" t="inlineStr">
        <is>
          <t>画布CRUD API</t>
        </is>
      </c>
      <c r="Q61" s="5" t="inlineStr"/>
    </row>
    <row r="62">
      <c r="A62" s="2" t="inlineStr">
        <is>
          <t>B-02</t>
        </is>
      </c>
      <c r="B62" s="2" t="inlineStr">
        <is>
          <t>B-02-01</t>
        </is>
      </c>
      <c r="C62" s="2" t="inlineStr">
        <is>
          <t>画布服务</t>
        </is>
      </c>
      <c r="D62" s="2" t="inlineStr">
        <is>
          <t>画布导入导出API</t>
        </is>
      </c>
      <c r="E62" s="2" t="inlineStr">
        <is>
          <t>JSON序列化导出(节点/连线/参数/坐标)/JSON导入还原/版本号校验/格式兼容性检测/大画布性能优化</t>
        </is>
      </c>
      <c r="F62" s="2" t="inlineStr"/>
      <c r="G62" s="2" t="inlineStr"/>
      <c r="H62" s="2" t="inlineStr"/>
      <c r="I62" s="3" t="n">
        <v>0.206</v>
      </c>
      <c r="J62" s="3" t="n">
        <v>0</v>
      </c>
      <c r="K62" s="2" t="inlineStr">
        <is>
          <t>P0</t>
        </is>
      </c>
      <c r="L62" s="2" t="inlineStr">
        <is>
          <t>高</t>
        </is>
      </c>
      <c r="M62" s="2" t="inlineStr">
        <is>
          <t>B-01-01</t>
        </is>
      </c>
      <c r="N62" s="2" t="inlineStr">
        <is>
          <t>大画布序列化</t>
        </is>
      </c>
      <c r="O62" s="2" t="inlineStr">
        <is>
          <t>未开始</t>
        </is>
      </c>
      <c r="P62" s="2" t="inlineStr">
        <is>
          <t>导入导出API</t>
        </is>
      </c>
      <c r="Q62" s="2" t="inlineStr"/>
    </row>
    <row r="63">
      <c r="A63" s="5" t="inlineStr">
        <is>
          <t>B-03</t>
        </is>
      </c>
      <c r="B63" s="5" t="inlineStr">
        <is>
          <t>B-03-01</t>
        </is>
      </c>
      <c r="C63" s="5" t="inlineStr">
        <is>
          <t>画布服务</t>
        </is>
      </c>
      <c r="D63" s="5" t="inlineStr">
        <is>
          <t>画布数据存储API</t>
        </is>
      </c>
      <c r="E63" s="5" t="inlineStr">
        <is>
          <t>节点数据增删改(位置/类型/参数/状态)/连线数据增删改/编组堆叠数据存储/自动保存/并发写入版本控制</t>
        </is>
      </c>
      <c r="F63" s="5" t="inlineStr"/>
      <c r="G63" s="5" t="inlineStr"/>
      <c r="H63" s="5" t="inlineStr"/>
      <c r="I63" s="6" t="n">
        <v>0.274</v>
      </c>
      <c r="J63" s="6" t="n">
        <v>0</v>
      </c>
      <c r="K63" s="5" t="inlineStr">
        <is>
          <t>P0</t>
        </is>
      </c>
      <c r="L63" s="5" t="inlineStr">
        <is>
          <t>高</t>
        </is>
      </c>
      <c r="M63" s="5" t="inlineStr">
        <is>
          <t>B-01-01</t>
        </is>
      </c>
      <c r="N63" s="5" t="inlineStr">
        <is>
          <t>并发写入冲突</t>
        </is>
      </c>
      <c r="O63" s="5" t="inlineStr">
        <is>
          <t>未开始</t>
        </is>
      </c>
      <c r="P63" s="5" t="inlineStr">
        <is>
          <t>画布数据API</t>
        </is>
      </c>
      <c r="Q63" s="5" t="inlineStr"/>
    </row>
    <row r="64">
      <c r="A64" s="2" t="inlineStr">
        <is>
          <t>B-04</t>
        </is>
      </c>
      <c r="B64" s="2" t="inlineStr">
        <is>
          <t>B-04-01</t>
        </is>
      </c>
      <c r="C64" s="2" t="inlineStr">
        <is>
          <t>连线服务</t>
        </is>
      </c>
      <c r="D64" s="2" t="inlineStr">
        <is>
          <t>连线校验API</t>
        </is>
      </c>
      <c r="E64" s="2" t="inlineStr">
        <is>
          <t>兼容性校验规则引擎/自连接检测/重复连接检测/节点类型列表查询/下游数据引用解析/有效状态判断</t>
        </is>
      </c>
      <c r="F64" s="2" t="inlineStr"/>
      <c r="G64" s="2" t="inlineStr"/>
      <c r="H64" s="2" t="inlineStr"/>
      <c r="I64" s="3" t="n">
        <v>0.165</v>
      </c>
      <c r="J64" s="3" t="n">
        <v>0</v>
      </c>
      <c r="K64" s="2" t="inlineStr">
        <is>
          <t>P0</t>
        </is>
      </c>
      <c r="L64" s="2" t="inlineStr">
        <is>
          <t>中</t>
        </is>
      </c>
      <c r="M64" s="2" t="inlineStr">
        <is>
          <t>B-03-01</t>
        </is>
      </c>
      <c r="N64" s="2" t="inlineStr"/>
      <c r="O64" s="2" t="inlineStr">
        <is>
          <t>未开始</t>
        </is>
      </c>
      <c r="P64" s="2" t="inlineStr"/>
      <c r="Q64" s="2" t="inlineStr"/>
    </row>
    <row r="65">
      <c r="A65" s="5" t="inlineStr">
        <is>
          <t>B-05</t>
        </is>
      </c>
      <c r="B65" s="5" t="inlineStr">
        <is>
          <t>B-05-01</t>
        </is>
      </c>
      <c r="C65" s="5" t="inlineStr">
        <is>
          <t>文本服务</t>
        </is>
      </c>
      <c r="D65" s="5" t="inlineStr">
        <is>
          <t>文本生成API</t>
        </is>
      </c>
      <c r="E65" s="5" t="inlineStr">
        <is>
          <t>AI文本生成接口/提示词校验/上传参考文件处理/Markdown内容存储/生成历史存储查询</t>
        </is>
      </c>
      <c r="F65" s="5" t="inlineStr"/>
      <c r="G65" s="5" t="inlineStr"/>
      <c r="H65" s="5" t="inlineStr"/>
      <c r="I65" s="6" t="n">
        <v>0.165</v>
      </c>
      <c r="J65" s="6" t="n">
        <v>0</v>
      </c>
      <c r="K65" s="5" t="inlineStr">
        <is>
          <t>P0</t>
        </is>
      </c>
      <c r="L65" s="5" t="inlineStr">
        <is>
          <t>中</t>
        </is>
      </c>
      <c r="M65" s="5" t="inlineStr">
        <is>
          <t>B-12-01</t>
        </is>
      </c>
      <c r="N65" s="5" t="inlineStr"/>
      <c r="O65" s="5" t="inlineStr">
        <is>
          <t>未开始</t>
        </is>
      </c>
      <c r="P65" s="5" t="inlineStr">
        <is>
          <t>文本生成API</t>
        </is>
      </c>
      <c r="Q65" s="5" t="inlineStr"/>
    </row>
    <row r="66">
      <c r="A66" s="2" t="inlineStr">
        <is>
          <t>B-06</t>
        </is>
      </c>
      <c r="B66" s="2" t="inlineStr">
        <is>
          <t>B-06-01</t>
        </is>
      </c>
      <c r="C66" s="2" t="inlineStr">
        <is>
          <t>图片服务</t>
        </is>
      </c>
      <c r="D66" s="2" t="inlineStr">
        <is>
          <t>图片生成API</t>
        </is>
      </c>
      <c r="E66" s="2" t="inlineStr">
        <is>
          <t>图片生成接口/多分辨率支持/风格参数映射/多份生成/生成历史存储</t>
        </is>
      </c>
      <c r="F66" s="2" t="inlineStr"/>
      <c r="G66" s="2" t="inlineStr"/>
      <c r="H66" s="2" t="inlineStr"/>
      <c r="I66" s="3" t="n">
        <v>0.165</v>
      </c>
      <c r="J66" s="3" t="n">
        <v>0</v>
      </c>
      <c r="K66" s="2" t="inlineStr">
        <is>
          <t>P0</t>
        </is>
      </c>
      <c r="L66" s="2" t="inlineStr">
        <is>
          <t>中</t>
        </is>
      </c>
      <c r="M66" s="2" t="inlineStr">
        <is>
          <t>B-12-01</t>
        </is>
      </c>
      <c r="N66" s="2" t="inlineStr"/>
      <c r="O66" s="2" t="inlineStr">
        <is>
          <t>未开始</t>
        </is>
      </c>
      <c r="P66" s="2" t="inlineStr">
        <is>
          <t>图片生成API</t>
        </is>
      </c>
      <c r="Q66" s="2" t="inlineStr"/>
    </row>
    <row r="67">
      <c r="A67" s="5" t="inlineStr">
        <is>
          <t>B-06</t>
        </is>
      </c>
      <c r="B67" s="5" t="inlineStr">
        <is>
          <t>B-06-02</t>
        </is>
      </c>
      <c r="C67" s="5" t="inlineStr">
        <is>
          <t>图片服务</t>
        </is>
      </c>
      <c r="D67" s="5" t="inlineStr">
        <is>
          <t>图片加工API</t>
        </is>
      </c>
      <c r="E67" s="5" t="inlineStr">
        <is>
          <t>图片裁剪(单图/四宫格/九宫格)/超分/扩图/Seedance 2.0认证接口对接</t>
        </is>
      </c>
      <c r="F67" s="5" t="inlineStr"/>
      <c r="G67" s="5" t="inlineStr"/>
      <c r="H67" s="5" t="inlineStr"/>
      <c r="I67" s="6" t="n">
        <v>0.165</v>
      </c>
      <c r="J67" s="6" t="n">
        <v>0</v>
      </c>
      <c r="K67" s="5" t="inlineStr">
        <is>
          <t>P1</t>
        </is>
      </c>
      <c r="L67" s="5" t="inlineStr">
        <is>
          <t>中</t>
        </is>
      </c>
      <c r="M67" s="5" t="inlineStr">
        <is>
          <t>B-06-01</t>
        </is>
      </c>
      <c r="N67" s="5" t="inlineStr">
        <is>
          <t>认证接口变化</t>
        </is>
      </c>
      <c r="O67" s="5" t="inlineStr">
        <is>
          <t>未开始</t>
        </is>
      </c>
      <c r="P67" s="5" t="inlineStr"/>
      <c r="Q67" s="5" t="inlineStr"/>
    </row>
    <row r="68">
      <c r="A68" s="2" t="inlineStr">
        <is>
          <t>B-07</t>
        </is>
      </c>
      <c r="B68" s="2" t="inlineStr">
        <is>
          <t>B-07-01</t>
        </is>
      </c>
      <c r="C68" s="2" t="inlineStr">
        <is>
          <t>视频服务</t>
        </is>
      </c>
      <c r="D68" s="2" t="inlineStr">
        <is>
          <t>视频生成API</t>
        </is>
      </c>
      <c r="E68" s="2" t="inlineStr">
        <is>
          <t>视频生成接口/运镜参数映射/风格参数/多份生成/生成历史存储</t>
        </is>
      </c>
      <c r="F68" s="2" t="inlineStr"/>
      <c r="G68" s="2" t="inlineStr"/>
      <c r="H68" s="2" t="inlineStr"/>
      <c r="I68" s="3" t="n">
        <v>0.165</v>
      </c>
      <c r="J68" s="3" t="n">
        <v>0</v>
      </c>
      <c r="K68" s="2" t="inlineStr">
        <is>
          <t>P0</t>
        </is>
      </c>
      <c r="L68" s="2" t="inlineStr">
        <is>
          <t>中</t>
        </is>
      </c>
      <c r="M68" s="2" t="inlineStr">
        <is>
          <t>B-12-01</t>
        </is>
      </c>
      <c r="N68" s="2" t="inlineStr"/>
      <c r="O68" s="2" t="inlineStr">
        <is>
          <t>未开始</t>
        </is>
      </c>
      <c r="P68" s="2" t="inlineStr">
        <is>
          <t>视频生成API</t>
        </is>
      </c>
      <c r="Q68" s="2" t="inlineStr"/>
    </row>
    <row r="69">
      <c r="A69" s="5" t="inlineStr">
        <is>
          <t>B-07</t>
        </is>
      </c>
      <c r="B69" s="5" t="inlineStr">
        <is>
          <t>B-07-02</t>
        </is>
      </c>
      <c r="C69" s="5" t="inlineStr">
        <is>
          <t>视频服务</t>
        </is>
      </c>
      <c r="D69" s="5" t="inlineStr">
        <is>
          <t>视频加工API</t>
        </is>
      </c>
      <c r="E69" s="5" t="inlineStr">
        <is>
          <t>剪辑范围处理/帧提取/超分/Seedance 2.0认证对接</t>
        </is>
      </c>
      <c r="F69" s="5" t="inlineStr"/>
      <c r="G69" s="5" t="inlineStr"/>
      <c r="H69" s="5" t="inlineStr"/>
      <c r="I69" s="6" t="n">
        <v>0.165</v>
      </c>
      <c r="J69" s="6" t="n">
        <v>0</v>
      </c>
      <c r="K69" s="5" t="inlineStr">
        <is>
          <t>P1</t>
        </is>
      </c>
      <c r="L69" s="5" t="inlineStr">
        <is>
          <t>中</t>
        </is>
      </c>
      <c r="M69" s="5" t="inlineStr">
        <is>
          <t>B-07-01</t>
        </is>
      </c>
      <c r="N69" s="5" t="inlineStr"/>
      <c r="O69" s="5" t="inlineStr">
        <is>
          <t>未开始</t>
        </is>
      </c>
      <c r="P69" s="5" t="inlineStr"/>
      <c r="Q69" s="5" t="inlineStr"/>
    </row>
    <row r="70">
      <c r="A70" s="2" t="inlineStr">
        <is>
          <t>B-08</t>
        </is>
      </c>
      <c r="B70" s="2" t="inlineStr">
        <is>
          <t>B-08-01</t>
        </is>
      </c>
      <c r="C70" s="2" t="inlineStr">
        <is>
          <t>音频服务</t>
        </is>
      </c>
      <c r="D70" s="2" t="inlineStr">
        <is>
          <t>音频生成API</t>
        </is>
      </c>
      <c r="E70" s="2" t="inlineStr">
        <is>
          <t>音频生成接口/风格参数映射/多份生成/生成历史存储/上传参考音频处理</t>
        </is>
      </c>
      <c r="F70" s="2" t="inlineStr"/>
      <c r="G70" s="2" t="inlineStr"/>
      <c r="H70" s="2" t="inlineStr"/>
      <c r="I70" s="3" t="n">
        <v>0.137</v>
      </c>
      <c r="J70" s="3" t="n">
        <v>0</v>
      </c>
      <c r="K70" s="2" t="inlineStr">
        <is>
          <t>P0</t>
        </is>
      </c>
      <c r="L70" s="2" t="inlineStr">
        <is>
          <t>低</t>
        </is>
      </c>
      <c r="M70" s="2" t="inlineStr">
        <is>
          <t>B-12-01</t>
        </is>
      </c>
      <c r="N70" s="2" t="inlineStr"/>
      <c r="O70" s="2" t="inlineStr">
        <is>
          <t>未开始</t>
        </is>
      </c>
      <c r="P70" s="2" t="inlineStr">
        <is>
          <t>音频生成API</t>
        </is>
      </c>
      <c r="Q70" s="2" t="inlineStr"/>
    </row>
    <row r="71">
      <c r="A71" s="5" t="inlineStr">
        <is>
          <t>B-09</t>
        </is>
      </c>
      <c r="B71" s="5" t="inlineStr">
        <is>
          <t>B-09-01</t>
        </is>
      </c>
      <c r="C71" s="5" t="inlineStr">
        <is>
          <t>合成服务</t>
        </is>
      </c>
      <c r="D71" s="5" t="inlineStr">
        <is>
          <t>合成节点API</t>
        </is>
      </c>
      <c r="E71" s="5" t="inlineStr">
        <is>
          <t>多视频输入接收/拼接顺序管理/合成任务队列/消耗计算/结果回调/合成视频存储</t>
        </is>
      </c>
      <c r="F71" s="5" t="inlineStr"/>
      <c r="G71" s="5" t="inlineStr"/>
      <c r="H71" s="5" t="inlineStr"/>
      <c r="I71" s="6" t="n">
        <v>0.165</v>
      </c>
      <c r="J71" s="6" t="n">
        <v>0</v>
      </c>
      <c r="K71" s="5" t="inlineStr">
        <is>
          <t>P1</t>
        </is>
      </c>
      <c r="L71" s="5" t="inlineStr">
        <is>
          <t>中</t>
        </is>
      </c>
      <c r="M71" s="5" t="inlineStr">
        <is>
          <t>B-07-01</t>
        </is>
      </c>
      <c r="N71" s="5" t="inlineStr">
        <is>
          <t>大视频拼接</t>
        </is>
      </c>
      <c r="O71" s="5" t="inlineStr">
        <is>
          <t>未开始</t>
        </is>
      </c>
      <c r="P71" s="5" t="inlineStr"/>
      <c r="Q71" s="5" t="inlineStr"/>
    </row>
    <row r="72">
      <c r="A72" s="2" t="inlineStr">
        <is>
          <t>B-10</t>
        </is>
      </c>
      <c r="B72" s="2" t="inlineStr">
        <is>
          <t>B-10-01</t>
        </is>
      </c>
      <c r="C72" s="2" t="inlineStr">
        <is>
          <t>导演台</t>
        </is>
      </c>
      <c r="D72" s="2" t="inlineStr">
        <is>
          <t>导演台API</t>
        </is>
      </c>
      <c r="E72" s="2" t="inlineStr">
        <is>
          <t>场景模型CRUD/人物模型参数存储(颜色/位置/姿势)/拖拽参数实时同步/拍照(3D→2D截图渲染)/视角调整计算</t>
        </is>
      </c>
      <c r="F72" s="2" t="inlineStr"/>
      <c r="G72" s="2" t="inlineStr"/>
      <c r="H72" s="2" t="inlineStr"/>
      <c r="I72" s="3" t="n">
        <v>0.274</v>
      </c>
      <c r="J72" s="3" t="n">
        <v>0</v>
      </c>
      <c r="K72" s="2" t="inlineStr">
        <is>
          <t>P1</t>
        </is>
      </c>
      <c r="L72" s="2" t="inlineStr">
        <is>
          <t>高</t>
        </is>
      </c>
      <c r="M72" s="2" t="inlineStr">
        <is>
          <t>B-03-01</t>
        </is>
      </c>
      <c r="N72" s="2" t="inlineStr">
        <is>
          <t>3D渲染性能</t>
        </is>
      </c>
      <c r="O72" s="2" t="inlineStr">
        <is>
          <t>未开始</t>
        </is>
      </c>
      <c r="P72" s="2" t="inlineStr"/>
      <c r="Q72" s="2" t="inlineStr"/>
    </row>
    <row r="73">
      <c r="A73" s="5" t="inlineStr">
        <is>
          <t>B-11</t>
        </is>
      </c>
      <c r="B73" s="5" t="inlineStr">
        <is>
          <t>B-11-01</t>
        </is>
      </c>
      <c r="C73" s="5" t="inlineStr">
        <is>
          <t>模型管理</t>
        </is>
      </c>
      <c r="D73" s="5" t="inlineStr">
        <is>
          <t>模型配置API</t>
        </is>
      </c>
      <c r="E73" s="5" t="inlineStr">
        <is>
          <t>模型列表查询(文本/图片/视频/音频分类)/模型详情(名称/类型/参数约束/端点)/模型可用状态/消耗点数查询</t>
        </is>
      </c>
      <c r="F73" s="5" t="inlineStr"/>
      <c r="G73" s="5" t="inlineStr"/>
      <c r="H73" s="5" t="inlineStr"/>
      <c r="I73" s="6" t="n">
        <v>0.165</v>
      </c>
      <c r="J73" s="6" t="n">
        <v>0</v>
      </c>
      <c r="K73" s="5" t="inlineStr">
        <is>
          <t>P0</t>
        </is>
      </c>
      <c r="L73" s="5" t="inlineStr">
        <is>
          <t>中</t>
        </is>
      </c>
      <c r="M73" s="5" t="inlineStr"/>
      <c r="N73" s="5" t="inlineStr"/>
      <c r="O73" s="5" t="inlineStr">
        <is>
          <t>未开始</t>
        </is>
      </c>
      <c r="P73" s="5" t="inlineStr">
        <is>
          <t>模型管理API</t>
        </is>
      </c>
      <c r="Q73" s="5" t="inlineStr"/>
    </row>
    <row r="74">
      <c r="A74" s="2" t="inlineStr">
        <is>
          <t>B-12</t>
        </is>
      </c>
      <c r="B74" s="2" t="inlineStr">
        <is>
          <t>B-12-01</t>
        </is>
      </c>
      <c r="C74" s="2" t="inlineStr">
        <is>
          <t>任务队列</t>
        </is>
      </c>
      <c r="D74" s="2" t="inlineStr">
        <is>
          <t>任务调度API</t>
        </is>
      </c>
      <c r="E74" s="2" t="inlineStr">
        <is>
          <t>任务创建(参数校验)/任务入队/队列调度/状态管理(排队→执行→成功/失败)/WebSocket实时状态推送/幂等性控制</t>
        </is>
      </c>
      <c r="F74" s="2" t="inlineStr"/>
      <c r="G74" s="2" t="inlineStr"/>
      <c r="H74" s="2" t="inlineStr"/>
      <c r="I74" s="3" t="n">
        <v>0.274</v>
      </c>
      <c r="J74" s="3" t="n">
        <v>0</v>
      </c>
      <c r="K74" s="2" t="inlineStr">
        <is>
          <t>P0</t>
        </is>
      </c>
      <c r="L74" s="2" t="inlineStr">
        <is>
          <t>高</t>
        </is>
      </c>
      <c r="M74" s="2" t="inlineStr">
        <is>
          <t>B-11-01</t>
        </is>
      </c>
      <c r="N74" s="2" t="inlineStr">
        <is>
          <t>队列积压/并发</t>
        </is>
      </c>
      <c r="O74" s="2" t="inlineStr">
        <is>
          <t>未开始</t>
        </is>
      </c>
      <c r="P74" s="2" t="inlineStr">
        <is>
          <t>任务调度服务</t>
        </is>
      </c>
      <c r="Q74" s="2" t="inlineStr"/>
    </row>
    <row r="75">
      <c r="A75" s="5" t="inlineStr">
        <is>
          <t>B-12</t>
        </is>
      </c>
      <c r="B75" s="5" t="inlineStr">
        <is>
          <t>B-12-02</t>
        </is>
      </c>
      <c r="C75" s="5" t="inlineStr">
        <is>
          <t>任务队列</t>
        </is>
      </c>
      <c r="D75" s="5" t="inlineStr">
        <is>
          <t>任务重试与取消</t>
        </is>
      </c>
      <c r="E75" s="5" t="inlineStr">
        <is>
          <t>失败重试机制/手动重试/任务取消/取消后点数退还</t>
        </is>
      </c>
      <c r="F75" s="5" t="inlineStr"/>
      <c r="G75" s="5" t="inlineStr"/>
      <c r="H75" s="5" t="inlineStr"/>
      <c r="I75" s="6" t="n">
        <v>0.137</v>
      </c>
      <c r="J75" s="6" t="n">
        <v>0</v>
      </c>
      <c r="K75" s="5" t="inlineStr">
        <is>
          <t>P0</t>
        </is>
      </c>
      <c r="L75" s="5" t="inlineStr">
        <is>
          <t>中</t>
        </is>
      </c>
      <c r="M75" s="5" t="inlineStr">
        <is>
          <t>B-12-01</t>
        </is>
      </c>
      <c r="N75" s="5" t="inlineStr"/>
      <c r="O75" s="5" t="inlineStr">
        <is>
          <t>未开始</t>
        </is>
      </c>
      <c r="P75" s="5" t="inlineStr"/>
      <c r="Q75" s="5" t="inlineStr"/>
    </row>
    <row r="76">
      <c r="A76" s="2" t="inlineStr">
        <is>
          <t>B-13</t>
        </is>
      </c>
      <c r="B76" s="2" t="inlineStr">
        <is>
          <t>B-13-01</t>
        </is>
      </c>
      <c r="C76" s="2" t="inlineStr">
        <is>
          <t>第三方对接</t>
        </is>
      </c>
      <c r="D76" s="2" t="inlineStr">
        <is>
          <t>模型适配器</t>
        </is>
      </c>
      <c r="E76" s="2" t="inlineStr">
        <is>
          <t>文本模型供应商适配/图片模型供应商适配/视频模型供应商适配/音频模型供应商适配/统一适配接口</t>
        </is>
      </c>
      <c r="F76" s="2" t="inlineStr"/>
      <c r="G76" s="2" t="inlineStr"/>
      <c r="H76" s="2" t="inlineStr"/>
      <c r="I76" s="3" t="n">
        <v>0.274</v>
      </c>
      <c r="J76" s="3" t="n">
        <v>0</v>
      </c>
      <c r="K76" s="2" t="inlineStr">
        <is>
          <t>P0</t>
        </is>
      </c>
      <c r="L76" s="2" t="inlineStr">
        <is>
          <t>高</t>
        </is>
      </c>
      <c r="M76" s="2" t="inlineStr">
        <is>
          <t>B-11-01</t>
        </is>
      </c>
      <c r="N76" s="2" t="inlineStr">
        <is>
          <t>供应商接口变更</t>
        </is>
      </c>
      <c r="O76" s="2" t="inlineStr">
        <is>
          <t>未开始</t>
        </is>
      </c>
      <c r="P76" s="2" t="inlineStr">
        <is>
          <t>模型适配器</t>
        </is>
      </c>
      <c r="Q76" s="2" t="inlineStr"/>
    </row>
    <row r="77">
      <c r="A77" s="5" t="inlineStr">
        <is>
          <t>B-13</t>
        </is>
      </c>
      <c r="B77" s="5" t="inlineStr">
        <is>
          <t>B-13-02</t>
        </is>
      </c>
      <c r="C77" s="5" t="inlineStr">
        <is>
          <t>第三方对接</t>
        </is>
      </c>
      <c r="D77" s="5" t="inlineStr">
        <is>
          <t>容错机制</t>
        </is>
      </c>
      <c r="E77" s="5" t="inlineStr">
        <is>
          <t>超时重试策略/熔断降级/健康检查/备用模型切换</t>
        </is>
      </c>
      <c r="F77" s="5" t="inlineStr"/>
      <c r="G77" s="5" t="inlineStr"/>
      <c r="H77" s="5" t="inlineStr"/>
      <c r="I77" s="6" t="n">
        <v>0.137</v>
      </c>
      <c r="J77" s="6" t="n">
        <v>0</v>
      </c>
      <c r="K77" s="5" t="inlineStr">
        <is>
          <t>P0</t>
        </is>
      </c>
      <c r="L77" s="5" t="inlineStr">
        <is>
          <t>高</t>
        </is>
      </c>
      <c r="M77" s="5" t="inlineStr">
        <is>
          <t>B-13-01</t>
        </is>
      </c>
      <c r="N77" s="5" t="inlineStr">
        <is>
          <t>服务不稳定</t>
        </is>
      </c>
      <c r="O77" s="5" t="inlineStr">
        <is>
          <t>未开始</t>
        </is>
      </c>
      <c r="P77" s="5" t="inlineStr"/>
      <c r="Q77" s="5" t="inlineStr"/>
    </row>
    <row r="78">
      <c r="A78" s="2" t="inlineStr">
        <is>
          <t>B-14</t>
        </is>
      </c>
      <c r="B78" s="2" t="inlineStr">
        <is>
          <t>B-14-01</t>
        </is>
      </c>
      <c r="C78" s="2" t="inlineStr">
        <is>
          <t>点数管理</t>
        </is>
      </c>
      <c r="D78" s="2" t="inlineStr">
        <is>
          <t>点数核心API</t>
        </is>
      </c>
      <c r="E78" s="2" t="inlineStr">
        <is>
          <t>个人/企业点数查询/消耗预览计算/预扣/冻结/实际结算/失败退还/异常回滚/事务一致性控制</t>
        </is>
      </c>
      <c r="F78" s="2" t="inlineStr"/>
      <c r="G78" s="2" t="inlineStr"/>
      <c r="H78" s="2" t="inlineStr"/>
      <c r="I78" s="3" t="n">
        <v>0.274</v>
      </c>
      <c r="J78" s="3" t="n">
        <v>0</v>
      </c>
      <c r="K78" s="2" t="inlineStr">
        <is>
          <t>P0</t>
        </is>
      </c>
      <c r="L78" s="2" t="inlineStr">
        <is>
          <t>高</t>
        </is>
      </c>
      <c r="M78" s="2" t="inlineStr">
        <is>
          <t>B-12-01</t>
        </is>
      </c>
      <c r="N78" s="2" t="inlineStr">
        <is>
          <t>并发扣费</t>
        </is>
      </c>
      <c r="O78" s="2" t="inlineStr">
        <is>
          <t>未开始</t>
        </is>
      </c>
      <c r="P78" s="2" t="inlineStr">
        <is>
          <t>计费核心API</t>
        </is>
      </c>
      <c r="Q78" s="2" t="inlineStr"/>
    </row>
    <row r="79">
      <c r="A79" s="5" t="inlineStr">
        <is>
          <t>B-15</t>
        </is>
      </c>
      <c r="B79" s="5" t="inlineStr">
        <is>
          <t>B-15-01</t>
        </is>
      </c>
      <c r="C79" s="5" t="inlineStr">
        <is>
          <t>点数管理</t>
        </is>
      </c>
      <c r="D79" s="5" t="inlineStr">
        <is>
          <t>点数流水API</t>
        </is>
      </c>
      <c r="E79" s="5" t="inlineStr">
        <is>
          <t>流水记录(动账前自动记录)/按账户查询/按任务追溯/CSV导出/对账/异常告警/分页</t>
        </is>
      </c>
      <c r="F79" s="5" t="inlineStr"/>
      <c r="G79" s="5" t="inlineStr"/>
      <c r="H79" s="5" t="inlineStr"/>
      <c r="I79" s="6" t="n">
        <v>0.206</v>
      </c>
      <c r="J79" s="6" t="n">
        <v>0</v>
      </c>
      <c r="K79" s="5" t="inlineStr">
        <is>
          <t>P0</t>
        </is>
      </c>
      <c r="L79" s="5" t="inlineStr">
        <is>
          <t>中</t>
        </is>
      </c>
      <c r="M79" s="5" t="inlineStr">
        <is>
          <t>B-14-01</t>
        </is>
      </c>
      <c r="N79" s="5" t="inlineStr"/>
      <c r="O79" s="5" t="inlineStr">
        <is>
          <t>未开始</t>
        </is>
      </c>
      <c r="P79" s="5" t="inlineStr">
        <is>
          <t>流水API</t>
        </is>
      </c>
      <c r="Q79" s="5" t="inlineStr"/>
    </row>
    <row r="80">
      <c r="A80" s="2" t="inlineStr">
        <is>
          <t>B-16</t>
        </is>
      </c>
      <c r="B80" s="2" t="inlineStr">
        <is>
          <t>B-16-01</t>
        </is>
      </c>
      <c r="C80" s="2" t="inlineStr">
        <is>
          <t>存储服务</t>
        </is>
      </c>
      <c r="D80" s="2" t="inlineStr">
        <is>
          <t>文件上传存储API</t>
        </is>
      </c>
      <c r="E80" s="2" t="inlineStr">
        <is>
          <t>文件上传/格式大小校验/恶意内容检测/对象存储集成/CDN加速/文件替换/素材下载</t>
        </is>
      </c>
      <c r="F80" s="2" t="inlineStr"/>
      <c r="G80" s="2" t="inlineStr"/>
      <c r="H80" s="2" t="inlineStr"/>
      <c r="I80" s="3" t="n">
        <v>0.206</v>
      </c>
      <c r="J80" s="3" t="n">
        <v>0</v>
      </c>
      <c r="K80" s="2" t="inlineStr">
        <is>
          <t>P0</t>
        </is>
      </c>
      <c r="L80" s="2" t="inlineStr">
        <is>
          <t>中</t>
        </is>
      </c>
      <c r="M80" s="2" t="inlineStr"/>
      <c r="N80" s="2" t="inlineStr"/>
      <c r="O80" s="2" t="inlineStr">
        <is>
          <t>未开始</t>
        </is>
      </c>
      <c r="P80" s="2" t="inlineStr">
        <is>
          <t>存储服务</t>
        </is>
      </c>
      <c r="Q80" s="2" t="inlineStr"/>
    </row>
    <row r="81">
      <c r="A81" s="5" t="inlineStr">
        <is>
          <t>B-17</t>
        </is>
      </c>
      <c r="B81" s="5" t="inlineStr">
        <is>
          <t>B-17-01</t>
        </is>
      </c>
      <c r="C81" s="5" t="inlineStr">
        <is>
          <t>素材服务</t>
        </is>
      </c>
      <c r="D81" s="5" t="inlineStr">
        <is>
          <t>素材管理API</t>
        </is>
      </c>
      <c r="E81" s="5" t="inlineStr">
        <is>
          <t>素材CRUD/分类查询(图片/视频/音频/图标列表模式)/画布节点关联/拖拽引用解析/删除影响检测/个人→企业素材转移API</t>
        </is>
      </c>
      <c r="F81" s="5" t="inlineStr"/>
      <c r="G81" s="5" t="inlineStr"/>
      <c r="H81" s="5" t="inlineStr"/>
      <c r="I81" s="6" t="n">
        <v>0.206</v>
      </c>
      <c r="J81" s="6" t="n">
        <v>0</v>
      </c>
      <c r="K81" s="5" t="inlineStr">
        <is>
          <t>P0</t>
        </is>
      </c>
      <c r="L81" s="5" t="inlineStr">
        <is>
          <t>中</t>
        </is>
      </c>
      <c r="M81" s="5" t="inlineStr">
        <is>
          <t>B-16-01</t>
        </is>
      </c>
      <c r="N81" s="5" t="inlineStr"/>
      <c r="O81" s="5" t="inlineStr">
        <is>
          <t>未开始</t>
        </is>
      </c>
      <c r="P81" s="5" t="inlineStr">
        <is>
          <t>素材管理API</t>
        </is>
      </c>
      <c r="Q81" s="5" t="inlineStr"/>
    </row>
    <row r="82">
      <c r="A82" s="2" t="inlineStr">
        <is>
          <t>B-18</t>
        </is>
      </c>
      <c r="B82" s="2" t="inlineStr">
        <is>
          <t>B-18-01</t>
        </is>
      </c>
      <c r="C82" s="2" t="inlineStr">
        <is>
          <t>用户系统</t>
        </is>
      </c>
      <c r="D82" s="2" t="inlineStr">
        <is>
          <t>注册登录API</t>
        </is>
      </c>
      <c r="E82" s="2" t="inlineStr">
        <is>
          <t>注册/登录/密码加密/Token签发(JWT)/Token刷新/第三方登录/会话管理/退出登录</t>
        </is>
      </c>
      <c r="F82" s="2" t="inlineStr"/>
      <c r="G82" s="2" t="inlineStr"/>
      <c r="H82" s="2" t="inlineStr"/>
      <c r="I82" s="3" t="n">
        <v>0.274</v>
      </c>
      <c r="J82" s="3" t="n">
        <v>0</v>
      </c>
      <c r="K82" s="2" t="inlineStr">
        <is>
          <t>P0</t>
        </is>
      </c>
      <c r="L82" s="2" t="inlineStr">
        <is>
          <t>中</t>
        </is>
      </c>
      <c r="M82" s="2" t="inlineStr"/>
      <c r="N82" s="2" t="inlineStr">
        <is>
          <t>安全合规</t>
        </is>
      </c>
      <c r="O82" s="2" t="inlineStr">
        <is>
          <t>未开始</t>
        </is>
      </c>
      <c r="P82" s="2" t="inlineStr">
        <is>
          <t>认证API</t>
        </is>
      </c>
      <c r="Q82" s="2" t="inlineStr"/>
    </row>
    <row r="83">
      <c r="A83" s="5" t="inlineStr">
        <is>
          <t>B-19</t>
        </is>
      </c>
      <c r="B83" s="5" t="inlineStr">
        <is>
          <t>B-19-01</t>
        </is>
      </c>
      <c r="C83" s="5" t="inlineStr">
        <is>
          <t>用户系统</t>
        </is>
      </c>
      <c r="D83" s="5" t="inlineStr">
        <is>
          <t>用户信息API</t>
        </is>
      </c>
      <c r="E83" s="5" t="inlineStr">
        <is>
          <t>用户信息CRUD/偏好设置(亮暗主题/中英文)/个人中心数据聚合/用户名ID查询/订阅方案信息查询/剩余点数查询</t>
        </is>
      </c>
      <c r="F83" s="5" t="inlineStr"/>
      <c r="G83" s="5" t="inlineStr"/>
      <c r="H83" s="5" t="inlineStr"/>
      <c r="I83" s="6" t="n">
        <v>0.165</v>
      </c>
      <c r="J83" s="6" t="n">
        <v>0</v>
      </c>
      <c r="K83" s="5" t="inlineStr">
        <is>
          <t>P0</t>
        </is>
      </c>
      <c r="L83" s="5" t="inlineStr">
        <is>
          <t>低</t>
        </is>
      </c>
      <c r="M83" s="5" t="inlineStr">
        <is>
          <t>B-18-01</t>
        </is>
      </c>
      <c r="N83" s="5" t="inlineStr"/>
      <c r="O83" s="5" t="inlineStr">
        <is>
          <t>未开始</t>
        </is>
      </c>
      <c r="P83" s="5" t="inlineStr">
        <is>
          <t>用户信息API</t>
        </is>
      </c>
      <c r="Q83" s="5" t="inlineStr"/>
    </row>
    <row r="84">
      <c r="A84" s="2" t="inlineStr">
        <is>
          <t>B-20</t>
        </is>
      </c>
      <c r="B84" s="2" t="inlineStr">
        <is>
          <t>B-20-01</t>
        </is>
      </c>
      <c r="C84" s="2" t="inlineStr">
        <is>
          <t>用户系统</t>
        </is>
      </c>
      <c r="D84" s="2" t="inlineStr">
        <is>
          <t>订阅与充值API</t>
        </is>
      </c>
      <c r="E84" s="2" t="inlineStr">
        <is>
          <t>个人订阅方案管理(查询/购买/续费)/点数购买/订单创建/支付回调处理/企业方案查询/套餐配置查询</t>
        </is>
      </c>
      <c r="F84" s="2" t="inlineStr"/>
      <c r="G84" s="2" t="inlineStr"/>
      <c r="H84" s="2" t="inlineStr"/>
      <c r="I84" s="3" t="n">
        <v>0.206</v>
      </c>
      <c r="J84" s="3" t="n">
        <v>0</v>
      </c>
      <c r="K84" s="2" t="inlineStr">
        <is>
          <t>P0</t>
        </is>
      </c>
      <c r="L84" s="2" t="inlineStr">
        <is>
          <t>中</t>
        </is>
      </c>
      <c r="M84" s="2" t="inlineStr">
        <is>
          <t>B-18-01</t>
        </is>
      </c>
      <c r="N84" s="2" t="inlineStr">
        <is>
          <t>支付安全</t>
        </is>
      </c>
      <c r="O84" s="2" t="inlineStr">
        <is>
          <t>未开始</t>
        </is>
      </c>
      <c r="P84" s="2" t="inlineStr">
        <is>
          <t>订阅充值API</t>
        </is>
      </c>
      <c r="Q84" s="2" t="inlineStr"/>
    </row>
    <row r="85">
      <c r="A85" s="5" t="inlineStr">
        <is>
          <t>B-21</t>
        </is>
      </c>
      <c r="B85" s="5" t="inlineStr">
        <is>
          <t>B-21-01</t>
        </is>
      </c>
      <c r="C85" s="5" t="inlineStr">
        <is>
          <t>用户系统</t>
        </is>
      </c>
      <c r="D85" s="5" t="inlineStr">
        <is>
          <t>签到与奖励API</t>
        </is>
      </c>
      <c r="E85" s="5" t="inlineStr">
        <is>
          <t>每日签到/连续签到判定/签到奖励发放(点数)/每日任务列表/任务完成判定/奖励领取</t>
        </is>
      </c>
      <c r="F85" s="5" t="inlineStr"/>
      <c r="G85" s="5" t="inlineStr"/>
      <c r="H85" s="5" t="inlineStr"/>
      <c r="I85" s="6" t="n">
        <v>0.137</v>
      </c>
      <c r="J85" s="6" t="n">
        <v>0</v>
      </c>
      <c r="K85" s="5" t="inlineStr">
        <is>
          <t>P1</t>
        </is>
      </c>
      <c r="L85" s="5" t="inlineStr">
        <is>
          <t>低</t>
        </is>
      </c>
      <c r="M85" s="5" t="inlineStr">
        <is>
          <t>B-18-01</t>
        </is>
      </c>
      <c r="N85" s="5" t="inlineStr"/>
      <c r="O85" s="5" t="inlineStr">
        <is>
          <t>未开始</t>
        </is>
      </c>
      <c r="P85" s="5" t="inlineStr"/>
      <c r="Q85" s="5" t="inlineStr"/>
    </row>
    <row r="86">
      <c r="A86" s="2" t="inlineStr">
        <is>
          <t>B-22</t>
        </is>
      </c>
      <c r="B86" s="2" t="inlineStr">
        <is>
          <t>B-22-01</t>
        </is>
      </c>
      <c r="C86" s="2" t="inlineStr">
        <is>
          <t>用户系统</t>
        </is>
      </c>
      <c r="D86" s="2" t="inlineStr">
        <is>
          <t>邀请系统API</t>
        </is>
      </c>
      <c r="E86" s="2" t="inlineStr">
        <is>
          <t>邀请码生成/邀请链接生成/接受邀请/邀请关系绑定/邀请记录查询/邀请人数统计/邀请奖励发放</t>
        </is>
      </c>
      <c r="F86" s="2" t="inlineStr"/>
      <c r="G86" s="2" t="inlineStr"/>
      <c r="H86" s="2" t="inlineStr"/>
      <c r="I86" s="3" t="n">
        <v>0.165</v>
      </c>
      <c r="J86" s="3" t="n">
        <v>0</v>
      </c>
      <c r="K86" s="2" t="inlineStr">
        <is>
          <t>P1</t>
        </is>
      </c>
      <c r="L86" s="2" t="inlineStr">
        <is>
          <t>低</t>
        </is>
      </c>
      <c r="M86" s="2" t="inlineStr">
        <is>
          <t>B-18-01</t>
        </is>
      </c>
      <c r="N86" s="2" t="inlineStr"/>
      <c r="O86" s="2" t="inlineStr">
        <is>
          <t>未开始</t>
        </is>
      </c>
      <c r="P86" s="2" t="inlineStr"/>
      <c r="Q86" s="2" t="inlineStr"/>
    </row>
    <row r="87">
      <c r="A87" s="5" t="inlineStr">
        <is>
          <t>B-23</t>
        </is>
      </c>
      <c r="B87" s="5" t="inlineStr">
        <is>
          <t>B-23-01</t>
        </is>
      </c>
      <c r="C87" s="5" t="inlineStr">
        <is>
          <t>分享服务</t>
        </is>
      </c>
      <c r="D87" s="5" t="inlineStr">
        <is>
          <t>画布分享API</t>
        </is>
      </c>
      <c r="E87" s="5" t="inlineStr">
        <is>
          <t>共享链接生成(短链)/共享状态管理(公开/私密/仅链接)/权限控制/上传到创意工坊</t>
        </is>
      </c>
      <c r="F87" s="5" t="inlineStr"/>
      <c r="G87" s="5" t="inlineStr"/>
      <c r="H87" s="5" t="inlineStr"/>
      <c r="I87" s="6" t="n">
        <v>0.137</v>
      </c>
      <c r="J87" s="6" t="n">
        <v>0</v>
      </c>
      <c r="K87" s="5" t="inlineStr">
        <is>
          <t>P1</t>
        </is>
      </c>
      <c r="L87" s="5" t="inlineStr">
        <is>
          <t>低</t>
        </is>
      </c>
      <c r="M87" s="5" t="inlineStr">
        <is>
          <t>B-01-01</t>
        </is>
      </c>
      <c r="N87" s="5" t="inlineStr"/>
      <c r="O87" s="5" t="inlineStr">
        <is>
          <t>未开始</t>
        </is>
      </c>
      <c r="P87" s="5" t="inlineStr"/>
      <c r="Q87" s="5" t="inlineStr"/>
    </row>
    <row r="88">
      <c r="A88" s="2" t="inlineStr">
        <is>
          <t>B-24</t>
        </is>
      </c>
      <c r="B88" s="2" t="inlineStr">
        <is>
          <t>B-24-01</t>
        </is>
      </c>
      <c r="C88" s="2" t="inlineStr">
        <is>
          <t>创意广场</t>
        </is>
      </c>
      <c r="D88" s="2" t="inlineStr">
        <is>
          <t>创意广场API</t>
        </is>
      </c>
      <c r="E88" s="2" t="inlineStr">
        <is>
          <t>公开画布列表查询(分页/排序/搜索)/画布制作过程节点流程数据/一键克隆(创建独立副本)/删除自己作品/成品预览图</t>
        </is>
      </c>
      <c r="F88" s="2" t="inlineStr"/>
      <c r="G88" s="2" t="inlineStr"/>
      <c r="H88" s="2" t="inlineStr"/>
      <c r="I88" s="3" t="n">
        <v>0.165</v>
      </c>
      <c r="J88" s="3" t="n">
        <v>0</v>
      </c>
      <c r="K88" s="2" t="inlineStr">
        <is>
          <t>P1</t>
        </is>
      </c>
      <c r="L88" s="2" t="inlineStr">
        <is>
          <t>中</t>
        </is>
      </c>
      <c r="M88" s="2" t="inlineStr">
        <is>
          <t>B-01-01</t>
        </is>
      </c>
      <c r="N88" s="2" t="inlineStr"/>
      <c r="O88" s="2" t="inlineStr">
        <is>
          <t>未开始</t>
        </is>
      </c>
      <c r="P88" s="2" t="inlineStr">
        <is>
          <t>创意广场API</t>
        </is>
      </c>
      <c r="Q88" s="2" t="inlineStr"/>
    </row>
    <row r="89">
      <c r="A89" s="5" t="inlineStr">
        <is>
          <t>B-25</t>
        </is>
      </c>
      <c r="B89" s="5" t="inlineStr">
        <is>
          <t>B-25-01</t>
        </is>
      </c>
      <c r="C89" s="5" t="inlineStr">
        <is>
          <t>历史服务</t>
        </is>
      </c>
      <c r="D89" s="5" t="inlineStr">
        <is>
          <t>任务历史API</t>
        </is>
      </c>
      <c r="E89" s="5" t="inlineStr">
        <is>
          <t>历史记录存储/多维度查询(提示词搜索/模型筛选/模态筛选/状态筛选/时间范围)/分页/统计聚合</t>
        </is>
      </c>
      <c r="F89" s="5" t="inlineStr"/>
      <c r="G89" s="5" t="inlineStr"/>
      <c r="H89" s="5" t="inlineStr"/>
      <c r="I89" s="6" t="n">
        <v>0.165</v>
      </c>
      <c r="J89" s="6" t="n">
        <v>0</v>
      </c>
      <c r="K89" s="5" t="inlineStr">
        <is>
          <t>P0</t>
        </is>
      </c>
      <c r="L89" s="5" t="inlineStr">
        <is>
          <t>低</t>
        </is>
      </c>
      <c r="M89" s="5" t="inlineStr">
        <is>
          <t>B-12-01</t>
        </is>
      </c>
      <c r="N89" s="5" t="inlineStr"/>
      <c r="O89" s="5" t="inlineStr">
        <is>
          <t>未开始</t>
        </is>
      </c>
      <c r="P89" s="5" t="inlineStr">
        <is>
          <t>历史API</t>
        </is>
      </c>
      <c r="Q89" s="5" t="inlineStr"/>
    </row>
    <row r="90">
      <c r="A90" s="2" t="inlineStr">
        <is>
          <t>B-26</t>
        </is>
      </c>
      <c r="B90" s="2" t="inlineStr">
        <is>
          <t>B-26-01</t>
        </is>
      </c>
      <c r="C90" s="2" t="inlineStr">
        <is>
          <t>Agent服务</t>
        </is>
      </c>
      <c r="D90" s="2" t="inlineStr">
        <is>
          <t>Agent对话API</t>
        </is>
      </c>
      <c r="E90" s="2" t="inlineStr">
        <is>
          <t>SSE流式对话/多轮对话上下文管理/画布上下文构建(节点/连线/选中内容解析)/LLM调用路由/Token统计/模型消耗统计</t>
        </is>
      </c>
      <c r="F90" s="2" t="inlineStr"/>
      <c r="G90" s="2" t="inlineStr"/>
      <c r="H90" s="2" t="inlineStr"/>
      <c r="I90" s="3" t="n">
        <v>0.274</v>
      </c>
      <c r="J90" s="3" t="n">
        <v>0</v>
      </c>
      <c r="K90" s="2" t="inlineStr">
        <is>
          <t>P0</t>
        </is>
      </c>
      <c r="L90" s="2" t="inlineStr">
        <is>
          <t>高</t>
        </is>
      </c>
      <c r="M90" s="2" t="inlineStr">
        <is>
          <t>B-18-01</t>
        </is>
      </c>
      <c r="N90" s="2" t="inlineStr">
        <is>
          <t>流式稳定/Token成本</t>
        </is>
      </c>
      <c r="O90" s="2" t="inlineStr">
        <is>
          <t>未开始</t>
        </is>
      </c>
      <c r="P90" s="2" t="inlineStr">
        <is>
          <t>Agent对话API</t>
        </is>
      </c>
      <c r="Q90" s="2" t="inlineStr"/>
    </row>
    <row r="91">
      <c r="A91" s="5" t="inlineStr">
        <is>
          <t>B-27</t>
        </is>
      </c>
      <c r="B91" s="5" t="inlineStr">
        <is>
          <t>B-27-01</t>
        </is>
      </c>
      <c r="C91" s="5" t="inlineStr">
        <is>
          <t>Agent服务</t>
        </is>
      </c>
      <c r="D91" s="5" t="inlineStr">
        <is>
          <t>Agent画布操作API</t>
        </is>
      </c>
      <c r="E91" s="5" t="inlineStr">
        <is>
          <t>自然语言指令解析→画布操作映射/节点CRUD/连线管理/编组堆叠/批量操作/重要操作确认机制(点数消耗/删除等)/操作审计日志/全流程自动编排</t>
        </is>
      </c>
      <c r="F91" s="5" t="inlineStr"/>
      <c r="G91" s="5" t="inlineStr"/>
      <c r="H91" s="5" t="inlineStr"/>
      <c r="I91" s="6" t="n">
        <v>0.274</v>
      </c>
      <c r="J91" s="6" t="n">
        <v>0</v>
      </c>
      <c r="K91" s="5" t="inlineStr">
        <is>
          <t>P0</t>
        </is>
      </c>
      <c r="L91" s="5" t="inlineStr">
        <is>
          <t>高</t>
        </is>
      </c>
      <c r="M91" s="5" t="inlineStr">
        <is>
          <t>B-26-01</t>
        </is>
      </c>
      <c r="N91" s="5" t="inlineStr">
        <is>
          <t>误操作风险</t>
        </is>
      </c>
      <c r="O91" s="5" t="inlineStr">
        <is>
          <t>未开始</t>
        </is>
      </c>
      <c r="P91" s="5" t="inlineStr">
        <is>
          <t>Agent操作API</t>
        </is>
      </c>
      <c r="Q91" s="5" t="inlineStr"/>
    </row>
    <row r="92">
      <c r="A92" s="2" t="inlineStr">
        <is>
          <t>B-28</t>
        </is>
      </c>
      <c r="B92" s="2" t="inlineStr">
        <is>
          <t>B-28-01</t>
        </is>
      </c>
      <c r="C92" s="2" t="inlineStr">
        <is>
          <t>Agent服务</t>
        </is>
      </c>
      <c r="D92" s="2" t="inlineStr">
        <is>
          <t>Skill系统API</t>
        </is>
      </c>
      <c r="E92" s="2" t="inlineStr">
        <is>
          <t>Skill CRUD(名称/描述/指令/版本)/预设Skill管理/按名称描述搜索/从对话生成Skill(AI自动总结)/上传.md文件(格式/大小/内容安全校验)/Skill版本管理</t>
        </is>
      </c>
      <c r="F92" s="2" t="inlineStr"/>
      <c r="G92" s="2" t="inlineStr"/>
      <c r="H92" s="2" t="inlineStr"/>
      <c r="I92" s="3" t="n">
        <v>0.206</v>
      </c>
      <c r="J92" s="3" t="n">
        <v>0</v>
      </c>
      <c r="K92" s="2" t="inlineStr">
        <is>
          <t>P1</t>
        </is>
      </c>
      <c r="L92" s="2" t="inlineStr">
        <is>
          <t>中</t>
        </is>
      </c>
      <c r="M92" s="2" t="inlineStr">
        <is>
          <t>B-26-01</t>
        </is>
      </c>
      <c r="N92" s="2" t="inlineStr"/>
      <c r="O92" s="2" t="inlineStr">
        <is>
          <t>未开始</t>
        </is>
      </c>
      <c r="P92" s="2" t="inlineStr">
        <is>
          <t>Skill API</t>
        </is>
      </c>
      <c r="Q92" s="2" t="inlineStr"/>
    </row>
    <row r="93">
      <c r="A93" s="5" t="inlineStr">
        <is>
          <t>B-29</t>
        </is>
      </c>
      <c r="B93" s="5" t="inlineStr">
        <is>
          <t>B-29-01</t>
        </is>
      </c>
      <c r="C93" s="5" t="inlineStr">
        <is>
          <t>Agent服务</t>
        </is>
      </c>
      <c r="D93" s="5" t="inlineStr">
        <is>
          <t>会话管理API</t>
        </is>
      </c>
      <c r="E93" s="5" t="inlineStr">
        <is>
          <t>会话CRUD/按画布查询会话列表/跨画布会话查询/保存会话片段/Skill关联/可复用会话管理</t>
        </is>
      </c>
      <c r="F93" s="5" t="inlineStr"/>
      <c r="G93" s="5" t="inlineStr"/>
      <c r="H93" s="5" t="inlineStr"/>
      <c r="I93" s="6" t="n">
        <v>0.165</v>
      </c>
      <c r="J93" s="6" t="n">
        <v>0</v>
      </c>
      <c r="K93" s="5" t="inlineStr">
        <is>
          <t>P1</t>
        </is>
      </c>
      <c r="L93" s="5" t="inlineStr">
        <is>
          <t>低</t>
        </is>
      </c>
      <c r="M93" s="5" t="inlineStr">
        <is>
          <t>B-26-01</t>
        </is>
      </c>
      <c r="N93" s="5" t="inlineStr"/>
      <c r="O93" s="5" t="inlineStr">
        <is>
          <t>未开始</t>
        </is>
      </c>
      <c r="P93" s="5" t="inlineStr"/>
      <c r="Q93" s="5" t="inlineStr"/>
    </row>
    <row r="94">
      <c r="A94" s="2" t="inlineStr">
        <is>
          <t>B-30</t>
        </is>
      </c>
      <c r="B94" s="2" t="inlineStr">
        <is>
          <t>B-30-01</t>
        </is>
      </c>
      <c r="C94" s="2" t="inlineStr">
        <is>
          <t>Agent服务</t>
        </is>
      </c>
      <c r="D94" s="2" t="inlineStr">
        <is>
          <t>记忆系统API</t>
        </is>
      </c>
      <c r="E94" s="2" t="inlineStr">
        <is>
          <t>短期记忆(当前session上下文存储与检索)/长期记忆存储(用户偏好/风格/方向/习惯)/向量嵌入/记忆检索/查看删除长期记忆</t>
        </is>
      </c>
      <c r="F94" s="2" t="inlineStr"/>
      <c r="G94" s="2" t="inlineStr"/>
      <c r="H94" s="2" t="inlineStr"/>
      <c r="I94" s="3" t="n">
        <v>0.206</v>
      </c>
      <c r="J94" s="3" t="n">
        <v>0</v>
      </c>
      <c r="K94" s="2" t="inlineStr">
        <is>
          <t>P2</t>
        </is>
      </c>
      <c r="L94" s="2" t="inlineStr">
        <is>
          <t>中</t>
        </is>
      </c>
      <c r="M94" s="2" t="inlineStr">
        <is>
          <t>B-26-01</t>
        </is>
      </c>
      <c r="N94" s="2" t="inlineStr">
        <is>
          <t>向量存储成本</t>
        </is>
      </c>
      <c r="O94" s="2" t="inlineStr">
        <is>
          <t>未开始</t>
        </is>
      </c>
      <c r="P94" s="2" t="inlineStr"/>
      <c r="Q94" s="2" t="inlineStr"/>
    </row>
    <row r="95">
      <c r="A95" s="5" t="inlineStr">
        <is>
          <t>B-31</t>
        </is>
      </c>
      <c r="B95" s="5" t="inlineStr">
        <is>
          <t>B-31-01</t>
        </is>
      </c>
      <c r="C95" s="5" t="inlineStr">
        <is>
          <t>企业中心</t>
        </is>
      </c>
      <c r="D95" s="5" t="inlineStr">
        <is>
          <t>企业核心API</t>
        </is>
      </c>
      <c r="E95" s="5" t="inlineStr">
        <is>
          <t>企业创建/企业信息(企业码/名称/总点数/可分配点数)/邀请链接生成/用户通过链接加入/企业角色权限管理(所有者/管理员/成员)</t>
        </is>
      </c>
      <c r="F95" s="5" t="inlineStr"/>
      <c r="G95" s="5" t="inlineStr"/>
      <c r="H95" s="5" t="inlineStr"/>
      <c r="I95" s="6" t="n">
        <v>0.206</v>
      </c>
      <c r="J95" s="6" t="n">
        <v>0</v>
      </c>
      <c r="K95" s="5" t="inlineStr">
        <is>
          <t>P1</t>
        </is>
      </c>
      <c r="L95" s="5" t="inlineStr">
        <is>
          <t>中</t>
        </is>
      </c>
      <c r="M95" s="5" t="inlineStr">
        <is>
          <t>B-18-01</t>
        </is>
      </c>
      <c r="N95" s="5" t="inlineStr"/>
      <c r="O95" s="5" t="inlineStr">
        <is>
          <t>未开始</t>
        </is>
      </c>
      <c r="P95" s="5" t="inlineStr">
        <is>
          <t>企业核心API</t>
        </is>
      </c>
      <c r="Q95" s="5" t="inlineStr"/>
    </row>
    <row r="96">
      <c r="A96" s="2" t="inlineStr">
        <is>
          <t>B-32</t>
        </is>
      </c>
      <c r="B96" s="2" t="inlineStr">
        <is>
          <t>B-32-01</t>
        </is>
      </c>
      <c r="C96" s="2" t="inlineStr">
        <is>
          <t>企业中心</t>
        </is>
      </c>
      <c r="D96" s="2" t="inlineStr">
        <is>
          <t>成员管理API</t>
        </is>
      </c>
      <c r="E96" s="2" t="inlineStr">
        <is>
          <t>成员列表/角色查询/点数分配(分配方减值→接收方增值)/点数回收(回收方减值→企业增值)/移出成员/事务一致性</t>
        </is>
      </c>
      <c r="F96" s="2" t="inlineStr"/>
      <c r="G96" s="2" t="inlineStr"/>
      <c r="H96" s="2" t="inlineStr"/>
      <c r="I96" s="3" t="n">
        <v>0.206</v>
      </c>
      <c r="J96" s="3" t="n">
        <v>0</v>
      </c>
      <c r="K96" s="2" t="inlineStr">
        <is>
          <t>P1</t>
        </is>
      </c>
      <c r="L96" s="2" t="inlineStr">
        <is>
          <t>中</t>
        </is>
      </c>
      <c r="M96" s="2" t="inlineStr">
        <is>
          <t>B-31-01</t>
        </is>
      </c>
      <c r="N96" s="2" t="inlineStr">
        <is>
          <t>并发分配</t>
        </is>
      </c>
      <c r="O96" s="2" t="inlineStr">
        <is>
          <t>未开始</t>
        </is>
      </c>
      <c r="P96" s="2" t="inlineStr">
        <is>
          <t>成员管理API</t>
        </is>
      </c>
      <c r="Q96" s="2" t="inlineStr"/>
    </row>
    <row r="97">
      <c r="A97" s="5" t="inlineStr">
        <is>
          <t>B-33</t>
        </is>
      </c>
      <c r="B97" s="5" t="inlineStr">
        <is>
          <t>B-33-01</t>
        </is>
      </c>
      <c r="C97" s="5" t="inlineStr">
        <is>
          <t>企业中心</t>
        </is>
      </c>
      <c r="D97" s="5" t="inlineStr">
        <is>
          <t>企业素材库API</t>
        </is>
      </c>
      <c r="E97" s="5" t="inlineStr">
        <is>
          <t>企业素材CRUD/团队共享查询/权限控制(成员读写/管理员全权)/个人→企业素材添加/画布关联</t>
        </is>
      </c>
      <c r="F97" s="5" t="inlineStr"/>
      <c r="G97" s="5" t="inlineStr"/>
      <c r="H97" s="5" t="inlineStr"/>
      <c r="I97" s="6" t="n">
        <v>0.137</v>
      </c>
      <c r="J97" s="6" t="n">
        <v>0</v>
      </c>
      <c r="K97" s="5" t="inlineStr">
        <is>
          <t>P1</t>
        </is>
      </c>
      <c r="L97" s="5" t="inlineStr">
        <is>
          <t>低</t>
        </is>
      </c>
      <c r="M97" s="5" t="inlineStr">
        <is>
          <t>B-17-01</t>
        </is>
      </c>
      <c r="N97" s="5" t="inlineStr"/>
      <c r="O97" s="5" t="inlineStr">
        <is>
          <t>未开始</t>
        </is>
      </c>
      <c r="P97" s="5" t="inlineStr"/>
      <c r="Q97" s="5" t="inlineStr"/>
    </row>
    <row r="98">
      <c r="A98" s="2" t="inlineStr">
        <is>
          <t>B-34</t>
        </is>
      </c>
      <c r="B98" s="2" t="inlineStr">
        <is>
          <t>B-34-01</t>
        </is>
      </c>
      <c r="C98" s="2" t="inlineStr">
        <is>
          <t>企业中心</t>
        </is>
      </c>
      <c r="D98" s="2" t="inlineStr">
        <is>
          <t>分配记录API</t>
        </is>
      </c>
      <c r="E98" s="2" t="inlineStr">
        <is>
          <t>分配记录查询(时间/类型/点数/余额)/搜索/CSV导出/分页/按时间筛选</t>
        </is>
      </c>
      <c r="F98" s="2" t="inlineStr"/>
      <c r="G98" s="2" t="inlineStr"/>
      <c r="H98" s="2" t="inlineStr"/>
      <c r="I98" s="3" t="n">
        <v>0.11</v>
      </c>
      <c r="J98" s="3" t="n">
        <v>0</v>
      </c>
      <c r="K98" s="2" t="inlineStr">
        <is>
          <t>P1</t>
        </is>
      </c>
      <c r="L98" s="2" t="inlineStr">
        <is>
          <t>低</t>
        </is>
      </c>
      <c r="M98" s="2" t="inlineStr">
        <is>
          <t>B-32-01</t>
        </is>
      </c>
      <c r="N98" s="2" t="inlineStr"/>
      <c r="O98" s="2" t="inlineStr">
        <is>
          <t>未开始</t>
        </is>
      </c>
      <c r="P98" s="2" t="inlineStr"/>
      <c r="Q98" s="2" t="inlineStr"/>
    </row>
    <row r="99">
      <c r="A99" s="5" t="inlineStr">
        <is>
          <t>B-35</t>
        </is>
      </c>
      <c r="B99" s="5" t="inlineStr">
        <is>
          <t>B-35-01</t>
        </is>
      </c>
      <c r="C99" s="5" t="inlineStr">
        <is>
          <t>企业中心</t>
        </is>
      </c>
      <c r="D99" s="5" t="inlineStr">
        <is>
          <t>企业充值API</t>
        </is>
      </c>
      <c r="E99" s="5" t="inlineStr">
        <is>
          <t>企业点数充值/订单创建/支付回调/充值记录/企业点数余额更新</t>
        </is>
      </c>
      <c r="F99" s="5" t="inlineStr"/>
      <c r="G99" s="5" t="inlineStr"/>
      <c r="H99" s="5" t="inlineStr"/>
      <c r="I99" s="6" t="n">
        <v>0.137</v>
      </c>
      <c r="J99" s="6" t="n">
        <v>0</v>
      </c>
      <c r="K99" s="5" t="inlineStr">
        <is>
          <t>P1</t>
        </is>
      </c>
      <c r="L99" s="5" t="inlineStr">
        <is>
          <t>低</t>
        </is>
      </c>
      <c r="M99" s="5" t="inlineStr">
        <is>
          <t>B-20-01</t>
        </is>
      </c>
      <c r="N99" s="5" t="inlineStr"/>
      <c r="O99" s="5" t="inlineStr">
        <is>
          <t>未开始</t>
        </is>
      </c>
      <c r="P99" s="5" t="inlineStr"/>
      <c r="Q99" s="5" t="inlineStr"/>
    </row>
    <row r="100">
      <c r="A100" s="2" t="inlineStr">
        <is>
          <t>B-36</t>
        </is>
      </c>
      <c r="B100" s="2" t="inlineStr">
        <is>
          <t>B-36-01</t>
        </is>
      </c>
      <c r="C100" s="2" t="inlineStr">
        <is>
          <t>企业中心</t>
        </is>
      </c>
      <c r="D100" s="2" t="inlineStr">
        <is>
          <t>用量统计API</t>
        </is>
      </c>
      <c r="E100" s="2" t="inlineStr">
        <is>
          <t>企业维度用量聚合/个人维度用量聚合/按时间范围筛选/点数消耗可视化数据(日/周/月)/明细查询</t>
        </is>
      </c>
      <c r="F100" s="2" t="inlineStr"/>
      <c r="G100" s="2" t="inlineStr"/>
      <c r="H100" s="2" t="inlineStr"/>
      <c r="I100" s="3" t="n">
        <v>0.137</v>
      </c>
      <c r="J100" s="3" t="n">
        <v>0</v>
      </c>
      <c r="K100" s="2" t="inlineStr">
        <is>
          <t>P1</t>
        </is>
      </c>
      <c r="L100" s="2" t="inlineStr">
        <is>
          <t>低</t>
        </is>
      </c>
      <c r="M100" s="2" t="inlineStr">
        <is>
          <t>B-14-01</t>
        </is>
      </c>
      <c r="N100" s="2" t="inlineStr"/>
      <c r="O100" s="2" t="inlineStr">
        <is>
          <t>未开始</t>
        </is>
      </c>
      <c r="P100" s="2" t="inlineStr"/>
      <c r="Q100" s="2" t="inlineStr"/>
    </row>
    <row r="101">
      <c r="A101" s="5" t="inlineStr">
        <is>
          <t>B-37</t>
        </is>
      </c>
      <c r="B101" s="5" t="inlineStr">
        <is>
          <t>B-37-01</t>
        </is>
      </c>
      <c r="C101" s="5" t="inlineStr">
        <is>
          <t>企业中心</t>
        </is>
      </c>
      <c r="D101" s="5" t="inlineStr">
        <is>
          <t>账户设置API</t>
        </is>
      </c>
      <c r="E101" s="5" t="inlineStr">
        <is>
          <t>修改企业名称/解散企业(二次确认+严格鉴权)/企业状态管理/操作审计日志</t>
        </is>
      </c>
      <c r="F101" s="5" t="inlineStr"/>
      <c r="G101" s="5" t="inlineStr"/>
      <c r="H101" s="5" t="inlineStr"/>
      <c r="I101" s="6" t="n">
        <v>0.11</v>
      </c>
      <c r="J101" s="6" t="n">
        <v>0</v>
      </c>
      <c r="K101" s="5" t="inlineStr">
        <is>
          <t>P1</t>
        </is>
      </c>
      <c r="L101" s="5" t="inlineStr">
        <is>
          <t>低</t>
        </is>
      </c>
      <c r="M101" s="5" t="inlineStr">
        <is>
          <t>B-31-01</t>
        </is>
      </c>
      <c r="N101" s="5" t="inlineStr"/>
      <c r="O101" s="5" t="inlineStr">
        <is>
          <t>未开始</t>
        </is>
      </c>
      <c r="P101" s="5" t="inlineStr"/>
      <c r="Q101" s="5" t="inlineStr"/>
    </row>
    <row r="102">
      <c r="A102" s="2" t="inlineStr">
        <is>
          <t>B-38</t>
        </is>
      </c>
      <c r="B102" s="2" t="inlineStr">
        <is>
          <t>B-38-01</t>
        </is>
      </c>
      <c r="C102" s="2" t="inlineStr">
        <is>
          <t>后台管理</t>
        </is>
      </c>
      <c r="D102" s="2" t="inlineStr">
        <is>
          <t>用户管理API</t>
        </is>
      </c>
      <c r="E102" s="2" t="inlineStr">
        <is>
          <t>用户列表(搜索ID/昵称/邮箱/手机)/筛选(注册时间/状态/会员)/分页/用户详情(信息/点数/画布数/企业)</t>
        </is>
      </c>
      <c r="F102" s="2" t="inlineStr"/>
      <c r="G102" s="2" t="inlineStr"/>
      <c r="H102" s="2" t="inlineStr"/>
      <c r="I102" s="3" t="n">
        <v>0.165</v>
      </c>
      <c r="J102" s="3" t="n">
        <v>0</v>
      </c>
      <c r="K102" s="2" t="inlineStr">
        <is>
          <t>P1</t>
        </is>
      </c>
      <c r="L102" s="2" t="inlineStr">
        <is>
          <t>中</t>
        </is>
      </c>
      <c r="M102" s="2" t="inlineStr">
        <is>
          <t>B-18-01</t>
        </is>
      </c>
      <c r="N102" s="2" t="inlineStr"/>
      <c r="O102" s="2" t="inlineStr">
        <is>
          <t>未开始</t>
        </is>
      </c>
      <c r="P102" s="2" t="inlineStr"/>
      <c r="Q102" s="2" t="inlineStr"/>
    </row>
    <row r="103">
      <c r="A103" s="5" t="inlineStr">
        <is>
          <t>B-38</t>
        </is>
      </c>
      <c r="B103" s="5" t="inlineStr">
        <is>
          <t>B-38-02</t>
        </is>
      </c>
      <c r="C103" s="5" t="inlineStr">
        <is>
          <t>后台管理</t>
        </is>
      </c>
      <c r="D103" s="5" t="inlineStr">
        <is>
          <t>用户操作API</t>
        </is>
      </c>
      <c r="E103" s="5" t="inlineStr">
        <is>
          <t>启用禁用用户/封禁解封/注销用户(软删除)/操作审计日志</t>
        </is>
      </c>
      <c r="F103" s="5" t="inlineStr"/>
      <c r="G103" s="5" t="inlineStr"/>
      <c r="H103" s="5" t="inlineStr"/>
      <c r="I103" s="6" t="n">
        <v>0.11</v>
      </c>
      <c r="J103" s="6" t="n">
        <v>0</v>
      </c>
      <c r="K103" s="5" t="inlineStr">
        <is>
          <t>P1</t>
        </is>
      </c>
      <c r="L103" s="5" t="inlineStr">
        <is>
          <t>中</t>
        </is>
      </c>
      <c r="M103" s="5" t="inlineStr">
        <is>
          <t>B-38-01</t>
        </is>
      </c>
      <c r="N103" s="5" t="inlineStr">
        <is>
          <t>权限控制</t>
        </is>
      </c>
      <c r="O103" s="5" t="inlineStr">
        <is>
          <t>未开始</t>
        </is>
      </c>
      <c r="P103" s="5" t="inlineStr"/>
      <c r="Q103" s="5" t="inlineStr"/>
    </row>
    <row r="104">
      <c r="A104" s="2" t="inlineStr">
        <is>
          <t>B-39</t>
        </is>
      </c>
      <c r="B104" s="2" t="inlineStr">
        <is>
          <t>B-39-01</t>
        </is>
      </c>
      <c r="C104" s="2" t="inlineStr">
        <is>
          <t>后台管理</t>
        </is>
      </c>
      <c r="D104" s="2" t="inlineStr">
        <is>
          <t>会员管理API</t>
        </is>
      </c>
      <c r="E104" s="2" t="inlineStr">
        <is>
          <t>会员等级CRUD/权益定义/定价设置/升级续费规则/会员状态管理</t>
        </is>
      </c>
      <c r="F104" s="2" t="inlineStr"/>
      <c r="G104" s="2" t="inlineStr"/>
      <c r="H104" s="2" t="inlineStr"/>
      <c r="I104" s="3" t="n">
        <v>0.137</v>
      </c>
      <c r="J104" s="3" t="n">
        <v>0</v>
      </c>
      <c r="K104" s="2" t="inlineStr">
        <is>
          <t>P2</t>
        </is>
      </c>
      <c r="L104" s="2" t="inlineStr">
        <is>
          <t>中</t>
        </is>
      </c>
      <c r="M104" s="2" t="inlineStr"/>
      <c r="N104" s="2" t="inlineStr"/>
      <c r="O104" s="2" t="inlineStr">
        <is>
          <t>未开始</t>
        </is>
      </c>
      <c r="P104" s="2" t="inlineStr"/>
      <c r="Q104" s="2" t="inlineStr"/>
    </row>
    <row r="105">
      <c r="A105" s="5" t="inlineStr">
        <is>
          <t>B-40</t>
        </is>
      </c>
      <c r="B105" s="5" t="inlineStr">
        <is>
          <t>B-40-01</t>
        </is>
      </c>
      <c r="C105" s="5" t="inlineStr">
        <is>
          <t>后台管理</t>
        </is>
      </c>
      <c r="D105" s="5" t="inlineStr">
        <is>
          <t>内容审核API</t>
        </is>
      </c>
      <c r="E105" s="5" t="inlineStr">
        <is>
          <t>公开画布审核列表/审核通过/驳回(含原因)/违规内容下架/批量审核操作/审核日志</t>
        </is>
      </c>
      <c r="F105" s="5" t="inlineStr"/>
      <c r="G105" s="5" t="inlineStr"/>
      <c r="H105" s="5" t="inlineStr"/>
      <c r="I105" s="6" t="n">
        <v>0.137</v>
      </c>
      <c r="J105" s="6" t="n">
        <v>0</v>
      </c>
      <c r="K105" s="5" t="inlineStr">
        <is>
          <t>P1</t>
        </is>
      </c>
      <c r="L105" s="5" t="inlineStr">
        <is>
          <t>中</t>
        </is>
      </c>
      <c r="M105" s="5" t="inlineStr">
        <is>
          <t>B-01-01</t>
        </is>
      </c>
      <c r="N105" s="5" t="inlineStr"/>
      <c r="O105" s="5" t="inlineStr">
        <is>
          <t>未开始</t>
        </is>
      </c>
      <c r="P105" s="5" t="inlineStr"/>
      <c r="Q105" s="5" t="inlineStr"/>
    </row>
    <row r="106">
      <c r="A106" s="2" t="inlineStr">
        <is>
          <t>B-41</t>
        </is>
      </c>
      <c r="B106" s="2" t="inlineStr">
        <is>
          <t>B-41-01</t>
        </is>
      </c>
      <c r="C106" s="2" t="inlineStr">
        <is>
          <t>后台管理</t>
        </is>
      </c>
      <c r="D106" s="2" t="inlineStr">
        <is>
          <t>模型管理API</t>
        </is>
      </c>
      <c r="E106" s="2" t="inlineStr">
        <is>
          <t>模型新增(名称/类型/API端点)/模型编辑/模型启用禁用/默认参数配置/模型列表(分类)</t>
        </is>
      </c>
      <c r="F106" s="2" t="inlineStr"/>
      <c r="G106" s="2" t="inlineStr"/>
      <c r="H106" s="2" t="inlineStr"/>
      <c r="I106" s="3" t="n">
        <v>0.137</v>
      </c>
      <c r="J106" s="3" t="n">
        <v>0</v>
      </c>
      <c r="K106" s="2" t="inlineStr">
        <is>
          <t>P1</t>
        </is>
      </c>
      <c r="L106" s="2" t="inlineStr">
        <is>
          <t>中</t>
        </is>
      </c>
      <c r="M106" s="2" t="inlineStr">
        <is>
          <t>B-11-01</t>
        </is>
      </c>
      <c r="N106" s="2" t="inlineStr"/>
      <c r="O106" s="2" t="inlineStr">
        <is>
          <t>未开始</t>
        </is>
      </c>
      <c r="P106" s="2" t="inlineStr"/>
      <c r="Q106" s="2" t="inlineStr"/>
    </row>
    <row r="107">
      <c r="A107" s="5" t="inlineStr">
        <is>
          <t>B-42</t>
        </is>
      </c>
      <c r="B107" s="5" t="inlineStr">
        <is>
          <t>B-42-01</t>
        </is>
      </c>
      <c r="C107" s="5" t="inlineStr">
        <is>
          <t>后台管理</t>
        </is>
      </c>
      <c r="D107" s="5" t="inlineStr">
        <is>
          <t>API管理</t>
        </is>
      </c>
      <c r="E107" s="5" t="inlineStr">
        <is>
          <t>第三方API Key增删改/调用限流配置/IP白名单/API健康监控/调用日志查询</t>
        </is>
      </c>
      <c r="F107" s="5" t="inlineStr"/>
      <c r="G107" s="5" t="inlineStr"/>
      <c r="H107" s="5" t="inlineStr"/>
      <c r="I107" s="6" t="n">
        <v>0.137</v>
      </c>
      <c r="J107" s="6" t="n">
        <v>0</v>
      </c>
      <c r="K107" s="5" t="inlineStr">
        <is>
          <t>P1</t>
        </is>
      </c>
      <c r="L107" s="5" t="inlineStr">
        <is>
          <t>中</t>
        </is>
      </c>
      <c r="M107" s="5" t="inlineStr">
        <is>
          <t>B-41-01</t>
        </is>
      </c>
      <c r="N107" s="5" t="inlineStr"/>
      <c r="O107" s="5" t="inlineStr">
        <is>
          <t>未开始</t>
        </is>
      </c>
      <c r="P107" s="5" t="inlineStr"/>
      <c r="Q107" s="5" t="inlineStr"/>
    </row>
    <row r="108">
      <c r="A108" s="2" t="inlineStr">
        <is>
          <t>B-43</t>
        </is>
      </c>
      <c r="B108" s="2" t="inlineStr">
        <is>
          <t>B-43-01</t>
        </is>
      </c>
      <c r="C108" s="2" t="inlineStr">
        <is>
          <t>后台管理</t>
        </is>
      </c>
      <c r="D108" s="2" t="inlineStr">
        <is>
          <t>定价管理API</t>
        </is>
      </c>
      <c r="E108" s="2" t="inlineStr">
        <is>
          <t>按分辨率/参数差异化定价/单价设置/促销折扣配置(折扣率/时间范围)/价格变更历史</t>
        </is>
      </c>
      <c r="F108" s="2" t="inlineStr"/>
      <c r="G108" s="2" t="inlineStr"/>
      <c r="H108" s="2" t="inlineStr"/>
      <c r="I108" s="3" t="n">
        <v>0.137</v>
      </c>
      <c r="J108" s="3" t="n">
        <v>0</v>
      </c>
      <c r="K108" s="2" t="inlineStr">
        <is>
          <t>P1</t>
        </is>
      </c>
      <c r="L108" s="2" t="inlineStr">
        <is>
          <t>中</t>
        </is>
      </c>
      <c r="M108" s="2" t="inlineStr">
        <is>
          <t>B-11-01</t>
        </is>
      </c>
      <c r="N108" s="2" t="inlineStr"/>
      <c r="O108" s="2" t="inlineStr">
        <is>
          <t>未开始</t>
        </is>
      </c>
      <c r="P108" s="2" t="inlineStr"/>
      <c r="Q108" s="2" t="inlineStr"/>
    </row>
    <row r="109">
      <c r="A109" s="5" t="inlineStr">
        <is>
          <t>B-44</t>
        </is>
      </c>
      <c r="B109" s="5" t="inlineStr">
        <is>
          <t>B-44-01</t>
        </is>
      </c>
      <c r="C109" s="5" t="inlineStr">
        <is>
          <t>后台管理</t>
        </is>
      </c>
      <c r="D109" s="5" t="inlineStr">
        <is>
          <t>充值套餐API</t>
        </is>
      </c>
      <c r="E109" s="5" t="inlineStr">
        <is>
          <t>充值套餐CRUD(名称/点数/价格/有效期)/套餐上下架/套餐优先级配置/套餐排序</t>
        </is>
      </c>
      <c r="F109" s="5" t="inlineStr"/>
      <c r="G109" s="5" t="inlineStr"/>
      <c r="H109" s="5" t="inlineStr"/>
      <c r="I109" s="6" t="n">
        <v>0.11</v>
      </c>
      <c r="J109" s="6" t="n">
        <v>0</v>
      </c>
      <c r="K109" s="5" t="inlineStr">
        <is>
          <t>P1</t>
        </is>
      </c>
      <c r="L109" s="5" t="inlineStr">
        <is>
          <t>低</t>
        </is>
      </c>
      <c r="M109" s="5" t="inlineStr">
        <is>
          <t>B-20-01</t>
        </is>
      </c>
      <c r="N109" s="5" t="inlineStr"/>
      <c r="O109" s="5" t="inlineStr">
        <is>
          <t>未开始</t>
        </is>
      </c>
      <c r="P109" s="5" t="inlineStr"/>
      <c r="Q109" s="5" t="inlineStr"/>
    </row>
    <row r="110">
      <c r="A110" s="2" t="inlineStr">
        <is>
          <t>B-45</t>
        </is>
      </c>
      <c r="B110" s="2" t="inlineStr">
        <is>
          <t>B-45-01</t>
        </is>
      </c>
      <c r="C110" s="2" t="inlineStr">
        <is>
          <t>后台管理</t>
        </is>
      </c>
      <c r="D110" s="2" t="inlineStr">
        <is>
          <t>交易管理API</t>
        </is>
      </c>
      <c r="E110" s="2" t="inlineStr">
        <is>
          <t>交易记录列表(时间/用户/金额/点数/渠道/状态)/交易详情/统计报表(日/周/月)/退款处理</t>
        </is>
      </c>
      <c r="F110" s="2" t="inlineStr"/>
      <c r="G110" s="2" t="inlineStr"/>
      <c r="H110" s="2" t="inlineStr"/>
      <c r="I110" s="3" t="n">
        <v>0.137</v>
      </c>
      <c r="J110" s="3" t="n">
        <v>0</v>
      </c>
      <c r="K110" s="2" t="inlineStr">
        <is>
          <t>P1</t>
        </is>
      </c>
      <c r="L110" s="2" t="inlineStr">
        <is>
          <t>中</t>
        </is>
      </c>
      <c r="M110" s="2" t="inlineStr">
        <is>
          <t>B-20-01</t>
        </is>
      </c>
      <c r="N110" s="2" t="inlineStr"/>
      <c r="O110" s="2" t="inlineStr">
        <is>
          <t>未开始</t>
        </is>
      </c>
      <c r="P110" s="2" t="inlineStr"/>
      <c r="Q110" s="2" t="inlineStr"/>
    </row>
    <row r="111">
      <c r="A111" s="5" t="inlineStr">
        <is>
          <t>B-46</t>
        </is>
      </c>
      <c r="B111" s="5" t="inlineStr">
        <is>
          <t>B-46-01</t>
        </is>
      </c>
      <c r="C111" s="5" t="inlineStr">
        <is>
          <t>后台管理</t>
        </is>
      </c>
      <c r="D111" s="5" t="inlineStr">
        <is>
          <t>公告管理API</t>
        </is>
      </c>
      <c r="E111" s="5" t="inlineStr">
        <is>
          <t>公告CRUD/公告发布推送/公告列表查询/已读状态</t>
        </is>
      </c>
      <c r="F111" s="5" t="inlineStr"/>
      <c r="G111" s="5" t="inlineStr"/>
      <c r="H111" s="5" t="inlineStr"/>
      <c r="I111" s="6" t="n">
        <v>0.06900000000000001</v>
      </c>
      <c r="J111" s="6" t="n">
        <v>0</v>
      </c>
      <c r="K111" s="5" t="inlineStr">
        <is>
          <t>P1</t>
        </is>
      </c>
      <c r="L111" s="5" t="inlineStr">
        <is>
          <t>低</t>
        </is>
      </c>
      <c r="M111" s="5" t="inlineStr"/>
      <c r="N111" s="5" t="inlineStr"/>
      <c r="O111" s="5" t="inlineStr">
        <is>
          <t>未开始</t>
        </is>
      </c>
      <c r="P111" s="5" t="inlineStr"/>
      <c r="Q111" s="5" t="inlineStr"/>
    </row>
    <row r="112">
      <c r="A112" s="2" t="inlineStr">
        <is>
          <t>B-47</t>
        </is>
      </c>
      <c r="B112" s="2" t="inlineStr">
        <is>
          <t>B-47-01</t>
        </is>
      </c>
      <c r="C112" s="2" t="inlineStr">
        <is>
          <t>后台管理</t>
        </is>
      </c>
      <c r="D112" s="2" t="inlineStr">
        <is>
          <t>审计日志API</t>
        </is>
      </c>
      <c r="E112" s="2" t="inlineStr">
        <is>
          <t>敏感操作自动记录(操作人/时间/对象/变更前后值/IP)/日志查询/日志导出/日志保留策略</t>
        </is>
      </c>
      <c r="F112" s="2" t="inlineStr"/>
      <c r="G112" s="2" t="inlineStr"/>
      <c r="H112" s="2" t="inlineStr"/>
      <c r="I112" s="3" t="n">
        <v>0.11</v>
      </c>
      <c r="J112" s="3" t="n">
        <v>0</v>
      </c>
      <c r="K112" s="2" t="inlineStr">
        <is>
          <t>P1</t>
        </is>
      </c>
      <c r="L112" s="2" t="inlineStr">
        <is>
          <t>低</t>
        </is>
      </c>
      <c r="M112" s="2" t="inlineStr"/>
      <c r="N112" s="2" t="inlineStr"/>
      <c r="O112" s="2" t="inlineStr">
        <is>
          <t>未开始</t>
        </is>
      </c>
      <c r="P112" s="2" t="inlineStr"/>
      <c r="Q112" s="2" t="inlineStr"/>
    </row>
    <row r="113">
      <c r="A113" s="8" t="n"/>
      <c r="B113" s="8" t="n"/>
      <c r="C113" s="8" t="n"/>
      <c r="D113" s="8" t="inlineStr">
        <is>
          <t>合计</t>
        </is>
      </c>
      <c r="E113" s="8" t="n"/>
      <c r="F113" s="8" t="n"/>
      <c r="G113" s="8" t="n"/>
      <c r="H113" s="8" t="n"/>
      <c r="I113" s="9">
        <f>SUM(I2:I112)</f>
        <v/>
      </c>
      <c r="J113" s="9">
        <f>SUM(J2:J112)</f>
        <v/>
      </c>
      <c r="K113" s="8" t="n"/>
      <c r="L113" s="8" t="n"/>
      <c r="M113" s="8" t="n"/>
      <c r="N113" s="8" t="n"/>
      <c r="O113" s="8" t="n"/>
      <c r="P113" s="8" t="n"/>
      <c r="Q113" s="8" t="n"/>
    </row>
  </sheetData>
  <autoFilter ref="A1:Q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2026-07-28T08:17:24Z</dcterms:created>
  <dcterms:modified xsi:type="dcterms:W3CDTF">2026-07-28T08:17:24Z</dcterms:modified>
</cp:coreProperties>
</file>